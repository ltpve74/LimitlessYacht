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Expenses" sheetId="2" r:id="rId6"/>
    <sheet state="visible" name="Provisions" sheetId="3" r:id="rId7"/>
    <sheet state="visible" name="Diesel" sheetId="4" r:id="rId8"/>
  </sheets>
  <definedNames/>
  <calcPr/>
</workbook>
</file>

<file path=xl/sharedStrings.xml><?xml version="1.0" encoding="utf-8"?>
<sst xmlns="http://schemas.openxmlformats.org/spreadsheetml/2006/main" count="87" uniqueCount="71">
  <si>
    <t>M/Y LIMITLESS — APA TRACKER</t>
  </si>
  <si>
    <t>Advance Provisioning Allowance — running reconciliation for the charter</t>
  </si>
  <si>
    <t>TRIP DETAILS</t>
  </si>
  <si>
    <t>APA SUMMARY</t>
  </si>
  <si>
    <t>Vessel</t>
  </si>
  <si>
    <t>M/Y Limitless</t>
  </si>
  <si>
    <t>APA SENT TO US</t>
  </si>
  <si>
    <t>Charter / Guest</t>
  </si>
  <si>
    <t>Joel Freeland</t>
  </si>
  <si>
    <t>Additional top-ups received</t>
  </si>
  <si>
    <t>Captain</t>
  </si>
  <si>
    <t>Luigi</t>
  </si>
  <si>
    <t>Total APA available</t>
  </si>
  <si>
    <t>Trip dates</t>
  </si>
  <si>
    <t>17-19/07</t>
  </si>
  <si>
    <t>Less: total receipts entered</t>
  </si>
  <si>
    <t>Currency</t>
  </si>
  <si>
    <t>EUR (€)</t>
  </si>
  <si>
    <t>BALANCE REMAINING</t>
  </si>
  <si>
    <t>% of APA spent</t>
  </si>
  <si>
    <t>SPEND BY CATEGORY</t>
  </si>
  <si>
    <t>DIESEL SUMMARY</t>
  </si>
  <si>
    <t>Category</t>
  </si>
  <si>
    <t>Total (€)</t>
  </si>
  <si>
    <t>Price per litre</t>
  </si>
  <si>
    <t>Fuel / Diesel  (from Diesel tab)</t>
  </si>
  <si>
    <t>Total litres consumed</t>
  </si>
  <si>
    <t>Food &amp; Provisions  (from Provisions tab)</t>
  </si>
  <si>
    <t>Total diesel cost</t>
  </si>
  <si>
    <t>Drinks &amp; Bar</t>
  </si>
  <si>
    <t>Dockage / Marina</t>
  </si>
  <si>
    <t>Crew Tips</t>
  </si>
  <si>
    <t>Miscellaneous</t>
  </si>
  <si>
    <t>TOTAL</t>
  </si>
  <si>
    <t>Yellow cells are inputs. Enter each purchase on the Expenses tab — totals here update automatically.</t>
  </si>
  <si>
    <t>EXPENSE LOG — M/Y Limitless APA</t>
  </si>
  <si>
    <t>Date</t>
  </si>
  <si>
    <t>Day</t>
  </si>
  <si>
    <t>Amount (€)</t>
  </si>
  <si>
    <t>Vendor / Description</t>
  </si>
  <si>
    <t>Paid by</t>
  </si>
  <si>
    <t>Receipt #</t>
  </si>
  <si>
    <t>Running balance (€)</t>
  </si>
  <si>
    <t>Notes</t>
  </si>
  <si>
    <t>Marina Tramontana - Soller</t>
  </si>
  <si>
    <t>Ship card</t>
  </si>
  <si>
    <t>Marina Port Andratx - Andratx</t>
  </si>
  <si>
    <t>PROVISIONS RECEIPTS — M/Y Limitless</t>
  </si>
  <si>
    <t>PROVISIONS GRAND TOTAL →</t>
  </si>
  <si>
    <t>flows to Dashboard → Food &amp; Provisions</t>
  </si>
  <si>
    <t>Supplier / Vendor</t>
  </si>
  <si>
    <t>Items / Description</t>
  </si>
  <si>
    <t>Makro</t>
  </si>
  <si>
    <t>provisions</t>
  </si>
  <si>
    <t>carrefour</t>
  </si>
  <si>
    <t>supermercado frau</t>
  </si>
  <si>
    <t>sa botiga</t>
  </si>
  <si>
    <t>eroski</t>
  </si>
  <si>
    <t>DIESEL CONSUMPTION — M/Y Limitless</t>
  </si>
  <si>
    <t>Price per litre (€)</t>
  </si>
  <si>
    <t>TOTAL DIESEL LITRES →</t>
  </si>
  <si>
    <t>Generator burn rate (L/hr)</t>
  </si>
  <si>
    <t>TOTAL DIESEL COST →</t>
  </si>
  <si>
    <t>Generator burn rate converts generator hours to litres. Set your genset's actual rate above. Engine consumption is entered directly in litres.</t>
  </si>
  <si>
    <t>Engine litres</t>
  </si>
  <si>
    <t>Generator hrs</t>
  </si>
  <si>
    <t>Gen litres</t>
  </si>
  <si>
    <t>Total litres</t>
  </si>
  <si>
    <t>Cost (€)</t>
  </si>
  <si>
    <t>2026-07-20</t>
  </si>
  <si>
    <t>EXAMPLE ROW — overwrite or delete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</si>
</sst>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€#,##0.00"/>
    <numFmt numFmtId="165" formatCode="0.0%"/>
    <numFmt numFmtId="166" formatCode="#,##0&quot; L&quot;"/>
    <numFmt numFmtId="167" formatCode="yyyy-mm-dd"/>
    <numFmt numFmtId="168" formatCode="0.0&quot; L/hr&quot;"/>
    <numFmt numFmtId="169" formatCode="0.0&quot; hr&quot;"/>
  </numFmts>
  <fonts count="15">
    <font>
      <sz val="11.0"/>
      <color theme="1"/>
      <name val="Calibri"/>
      <scheme val="minor"/>
    </font>
    <font>
      <b/>
      <sz val="18.0"/>
      <color rgb="FFFFFFFF"/>
      <name val="Arial"/>
    </font>
    <font/>
    <font>
      <i/>
      <sz val="10.0"/>
      <color rgb="FF808080"/>
      <name val="Arial"/>
    </font>
    <font>
      <b/>
      <sz val="11.0"/>
      <color rgb="FFFFFFFF"/>
      <name val="Arial"/>
    </font>
    <font>
      <b/>
      <sz val="11.0"/>
      <color theme="1"/>
      <name val="Arial"/>
    </font>
    <font>
      <b/>
      <sz val="11.0"/>
      <color rgb="FF0000FF"/>
      <name val="Arial"/>
    </font>
    <font>
      <b/>
      <sz val="14.0"/>
      <color rgb="FF0000FF"/>
      <name val="Arial"/>
    </font>
    <font>
      <sz val="11.0"/>
      <color theme="1"/>
      <name val="Arial"/>
    </font>
    <font>
      <b/>
      <sz val="14.0"/>
      <color theme="1"/>
      <name val="Arial"/>
    </font>
    <font>
      <sz val="11.0"/>
      <color rgb="FF008000"/>
      <name val="Arial"/>
    </font>
    <font>
      <b/>
      <sz val="12.0"/>
      <color rgb="FF008000"/>
      <name val="Arial"/>
    </font>
    <font>
      <i/>
      <sz val="9.0"/>
      <color rgb="FF808080"/>
      <name val="Arial"/>
    </font>
    <font>
      <b/>
      <sz val="14.0"/>
      <color rgb="FFFFFFFF"/>
      <name val="Arial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9E1F2"/>
        <bgColor rgb="FFD9E1F2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E2EFDA"/>
      </patternFill>
    </fill>
  </fills>
  <borders count="11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left"/>
    </xf>
    <xf borderId="7" fillId="2" fontId="4" numFmtId="0" xfId="0" applyBorder="1" applyFont="1"/>
    <xf borderId="8" fillId="0" fontId="2" numFmtId="0" xfId="0" applyBorder="1" applyFont="1"/>
    <xf borderId="9" fillId="3" fontId="5" numFmtId="0" xfId="0" applyBorder="1" applyFill="1" applyFont="1"/>
    <xf borderId="9" fillId="0" fontId="6" numFmtId="0" xfId="0" applyAlignment="1" applyBorder="1" applyFont="1">
      <alignment horizontal="left" vertical="center"/>
    </xf>
    <xf borderId="9" fillId="4" fontId="7" numFmtId="164" xfId="0" applyAlignment="1" applyBorder="1" applyFill="1" applyFont="1" applyNumberFormat="1">
      <alignment horizontal="right" readingOrder="0" vertical="center"/>
    </xf>
    <xf borderId="9" fillId="4" fontId="6" numFmtId="0" xfId="0" applyAlignment="1" applyBorder="1" applyFont="1">
      <alignment horizontal="left" readingOrder="0" vertical="center"/>
    </xf>
    <xf borderId="9" fillId="4" fontId="6" numFmtId="164" xfId="0" applyAlignment="1" applyBorder="1" applyFont="1" applyNumberFormat="1">
      <alignment horizontal="right" vertical="center"/>
    </xf>
    <xf borderId="9" fillId="0" fontId="8" numFmtId="164" xfId="0" applyAlignment="1" applyBorder="1" applyFont="1" applyNumberFormat="1">
      <alignment horizontal="right" vertical="center"/>
    </xf>
    <xf borderId="9" fillId="0" fontId="8" numFmtId="0" xfId="0" applyAlignment="1" applyBorder="1" applyFont="1">
      <alignment horizontal="left" vertical="center"/>
    </xf>
    <xf borderId="9" fillId="5" fontId="5" numFmtId="0" xfId="0" applyBorder="1" applyFill="1" applyFont="1"/>
    <xf borderId="9" fillId="5" fontId="9" numFmtId="164" xfId="0" applyAlignment="1" applyBorder="1" applyFont="1" applyNumberFormat="1">
      <alignment horizontal="right" vertical="center"/>
    </xf>
    <xf borderId="9" fillId="0" fontId="8" numFmtId="165" xfId="0" applyAlignment="1" applyBorder="1" applyFont="1" applyNumberFormat="1">
      <alignment horizontal="right" vertical="center"/>
    </xf>
    <xf borderId="9" fillId="3" fontId="5" numFmtId="0" xfId="0" applyAlignment="1" applyBorder="1" applyFont="1">
      <alignment horizontal="right" vertical="center"/>
    </xf>
    <xf borderId="9" fillId="0" fontId="10" numFmtId="164" xfId="0" applyAlignment="1" applyBorder="1" applyFont="1" applyNumberFormat="1">
      <alignment horizontal="right" vertical="center"/>
    </xf>
    <xf borderId="9" fillId="0" fontId="8" numFmtId="0" xfId="0" applyBorder="1" applyFont="1"/>
    <xf borderId="9" fillId="0" fontId="10" numFmtId="166" xfId="0" applyAlignment="1" applyBorder="1" applyFont="1" applyNumberFormat="1">
      <alignment horizontal="right" vertical="center"/>
    </xf>
    <xf borderId="9" fillId="0" fontId="11" numFmtId="164" xfId="0" applyAlignment="1" applyBorder="1" applyFont="1" applyNumberFormat="1">
      <alignment horizontal="right" vertical="center"/>
    </xf>
    <xf borderId="9" fillId="3" fontId="5" numFmtId="164" xfId="0" applyAlignment="1" applyBorder="1" applyFont="1" applyNumberFormat="1">
      <alignment horizontal="right" vertical="center"/>
    </xf>
    <xf borderId="0" fillId="0" fontId="12" numFmtId="0" xfId="0" applyFont="1"/>
    <xf borderId="7" fillId="2" fontId="13" numFmtId="0" xfId="0" applyAlignment="1" applyBorder="1" applyFont="1">
      <alignment horizontal="left" vertical="center"/>
    </xf>
    <xf borderId="10" fillId="0" fontId="2" numFmtId="0" xfId="0" applyBorder="1" applyFont="1"/>
    <xf borderId="9" fillId="2" fontId="4" numFmtId="0" xfId="0" applyAlignment="1" applyBorder="1" applyFont="1">
      <alignment horizontal="center" vertical="center"/>
    </xf>
    <xf borderId="9" fillId="0" fontId="8" numFmtId="167" xfId="0" applyAlignment="1" applyBorder="1" applyFont="1" applyNumberFormat="1">
      <alignment horizontal="center" readingOrder="0" vertical="center"/>
    </xf>
    <xf borderId="9" fillId="0" fontId="8" numFmtId="0" xfId="0" applyAlignment="1" applyBorder="1" applyFont="1">
      <alignment horizontal="center" vertical="center"/>
    </xf>
    <xf borderId="9" fillId="0" fontId="8" numFmtId="0" xfId="0" applyAlignment="1" applyBorder="1" applyFont="1">
      <alignment horizontal="left" readingOrder="0" vertical="center"/>
    </xf>
    <xf borderId="9" fillId="0" fontId="8" numFmtId="164" xfId="0" applyAlignment="1" applyBorder="1" applyFont="1" applyNumberFormat="1">
      <alignment horizontal="right" readingOrder="0" vertical="center"/>
    </xf>
    <xf borderId="9" fillId="0" fontId="8" numFmtId="0" xfId="0" applyAlignment="1" applyBorder="1" applyFont="1">
      <alignment horizontal="center" readingOrder="0" vertical="center"/>
    </xf>
    <xf borderId="9" fillId="0" fontId="12" numFmtId="0" xfId="0" applyAlignment="1" applyBorder="1" applyFont="1">
      <alignment horizontal="left" vertical="center"/>
    </xf>
    <xf borderId="9" fillId="0" fontId="8" numFmtId="167" xfId="0" applyAlignment="1" applyBorder="1" applyFont="1" applyNumberFormat="1">
      <alignment horizontal="center" vertical="center"/>
    </xf>
    <xf borderId="0" fillId="0" fontId="14" numFmtId="0" xfId="0" applyAlignment="1" applyFont="1">
      <alignment horizontal="right" vertical="center"/>
    </xf>
    <xf borderId="9" fillId="5" fontId="11" numFmtId="164" xfId="0" applyAlignment="1" applyBorder="1" applyFont="1" applyNumberFormat="1">
      <alignment horizontal="right" vertical="center"/>
    </xf>
    <xf borderId="0" fillId="0" fontId="5" numFmtId="0" xfId="0" applyAlignment="1" applyFont="1">
      <alignment horizontal="right" vertical="center"/>
    </xf>
    <xf borderId="9" fillId="4" fontId="6" numFmtId="164" xfId="0" applyAlignment="1" applyBorder="1" applyFont="1" applyNumberFormat="1">
      <alignment horizontal="center" vertical="center"/>
    </xf>
    <xf borderId="9" fillId="5" fontId="11" numFmtId="166" xfId="0" applyAlignment="1" applyBorder="1" applyFont="1" applyNumberFormat="1">
      <alignment horizontal="right" vertical="center"/>
    </xf>
    <xf borderId="9" fillId="4" fontId="6" numFmtId="168" xfId="0" applyAlignment="1" applyBorder="1" applyFont="1" applyNumberFormat="1">
      <alignment horizontal="center" readingOrder="0" vertical="center"/>
    </xf>
    <xf borderId="9" fillId="0" fontId="8" numFmtId="166" xfId="0" applyAlignment="1" applyBorder="1" applyFont="1" applyNumberFormat="1">
      <alignment horizontal="right" readingOrder="0" vertical="center"/>
    </xf>
    <xf borderId="9" fillId="0" fontId="8" numFmtId="169" xfId="0" applyAlignment="1" applyBorder="1" applyFont="1" applyNumberFormat="1">
      <alignment horizontal="right" readingOrder="0" vertical="center"/>
    </xf>
    <xf borderId="9" fillId="0" fontId="8" numFmtId="166" xfId="0" applyAlignment="1" applyBorder="1" applyFont="1" applyNumberFormat="1">
      <alignment horizontal="right" vertical="center"/>
    </xf>
    <xf borderId="9" fillId="0" fontId="8" numFmtId="169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6.0"/>
    <col customWidth="1" min="3" max="6" width="20.0"/>
    <col customWidth="1" min="7" max="26" width="8.71"/>
  </cols>
  <sheetData>
    <row r="2">
      <c r="B2" s="1" t="s">
        <v>0</v>
      </c>
      <c r="C2" s="2"/>
      <c r="D2" s="2"/>
      <c r="E2" s="2"/>
      <c r="F2" s="3"/>
    </row>
    <row r="3">
      <c r="B3" s="4"/>
      <c r="C3" s="5"/>
      <c r="D3" s="5"/>
      <c r="E3" s="5"/>
      <c r="F3" s="6"/>
    </row>
    <row r="4">
      <c r="B4" s="7" t="s">
        <v>1</v>
      </c>
    </row>
    <row r="6">
      <c r="B6" s="8" t="s">
        <v>2</v>
      </c>
      <c r="C6" s="9"/>
      <c r="E6" s="8" t="s">
        <v>3</v>
      </c>
      <c r="F6" s="9"/>
    </row>
    <row r="7">
      <c r="B7" s="10" t="s">
        <v>4</v>
      </c>
      <c r="C7" s="11" t="s">
        <v>5</v>
      </c>
      <c r="E7" s="10" t="s">
        <v>6</v>
      </c>
      <c r="F7" s="12">
        <v>2400.0</v>
      </c>
    </row>
    <row r="8">
      <c r="B8" s="10" t="s">
        <v>7</v>
      </c>
      <c r="C8" s="13" t="s">
        <v>8</v>
      </c>
      <c r="E8" s="10" t="s">
        <v>9</v>
      </c>
      <c r="F8" s="14">
        <v>0.0</v>
      </c>
    </row>
    <row r="9">
      <c r="B9" s="10" t="s">
        <v>10</v>
      </c>
      <c r="C9" s="13" t="s">
        <v>11</v>
      </c>
      <c r="E9" s="10" t="s">
        <v>12</v>
      </c>
      <c r="F9" s="15">
        <f>F7+F8</f>
        <v>2400</v>
      </c>
    </row>
    <row r="10">
      <c r="B10" s="10" t="s">
        <v>13</v>
      </c>
      <c r="C10" s="13" t="s">
        <v>14</v>
      </c>
      <c r="E10" s="10" t="s">
        <v>15</v>
      </c>
      <c r="F10" s="15">
        <f>SUM(Expenses!D3:D202)+Provisions!$D$2+Diesel!$F$3</f>
        <v>5336.93</v>
      </c>
    </row>
    <row r="11">
      <c r="B11" s="10" t="s">
        <v>16</v>
      </c>
      <c r="C11" s="16" t="s">
        <v>17</v>
      </c>
      <c r="E11" s="17" t="s">
        <v>18</v>
      </c>
      <c r="F11" s="18">
        <f>F9-F10</f>
        <v>-2936.93</v>
      </c>
    </row>
    <row r="12">
      <c r="E12" s="10" t="s">
        <v>19</v>
      </c>
      <c r="F12" s="19">
        <f>IFERROR(F10/F9,0)</f>
        <v>2.223720833</v>
      </c>
    </row>
    <row r="14">
      <c r="B14" s="8" t="s">
        <v>20</v>
      </c>
      <c r="C14" s="9"/>
      <c r="E14" s="8" t="s">
        <v>21</v>
      </c>
      <c r="F14" s="9"/>
    </row>
    <row r="15">
      <c r="B15" s="10" t="s">
        <v>22</v>
      </c>
      <c r="C15" s="20" t="s">
        <v>23</v>
      </c>
      <c r="E15" s="10" t="s">
        <v>24</v>
      </c>
      <c r="F15" s="21">
        <f>Diesel!$C$2</f>
        <v>1.75</v>
      </c>
    </row>
    <row r="16">
      <c r="B16" s="22" t="s">
        <v>25</v>
      </c>
      <c r="C16" s="21">
        <f>Diesel!$F$3</f>
        <v>3727.5</v>
      </c>
      <c r="E16" s="10" t="s">
        <v>26</v>
      </c>
      <c r="F16" s="23">
        <f>Diesel!$F$2</f>
        <v>2130</v>
      </c>
    </row>
    <row r="17">
      <c r="B17" s="22" t="s">
        <v>27</v>
      </c>
      <c r="C17" s="21">
        <f>Provisions!$D$2</f>
        <v>579.72</v>
      </c>
      <c r="E17" s="10" t="s">
        <v>28</v>
      </c>
      <c r="F17" s="24">
        <f>Diesel!$F$3</f>
        <v>3727.5</v>
      </c>
    </row>
    <row r="18">
      <c r="B18" s="22" t="s">
        <v>29</v>
      </c>
      <c r="C18" s="15">
        <f>SUMIF(Expenses!C$3:C$202,B18,Expenses!D$3:D$202)</f>
        <v>0</v>
      </c>
    </row>
    <row r="19">
      <c r="B19" s="22" t="s">
        <v>30</v>
      </c>
      <c r="C19" s="15">
        <f>SUMIF(Expenses!C$3:C$202,B19,Expenses!D$3:D$202)</f>
        <v>1029.71</v>
      </c>
    </row>
    <row r="20">
      <c r="B20" s="22" t="s">
        <v>31</v>
      </c>
      <c r="C20" s="15">
        <f>SUMIF(Expenses!C$3:C$202,B20,Expenses!D$3:D$202)</f>
        <v>0</v>
      </c>
    </row>
    <row r="21" ht="15.75" customHeight="1">
      <c r="B21" s="22" t="s">
        <v>32</v>
      </c>
      <c r="C21" s="15">
        <f>SUMIF(Expenses!C$3:C$202,B21,Expenses!D$3:D$202)</f>
        <v>0</v>
      </c>
    </row>
    <row r="22" ht="15.75" customHeight="1">
      <c r="B22" s="10" t="s">
        <v>33</v>
      </c>
      <c r="C22" s="25">
        <f>SUM(C16:C21)</f>
        <v>5336.93</v>
      </c>
    </row>
    <row r="23" ht="15.75" customHeight="1"/>
    <row r="24" ht="15.75" customHeight="1">
      <c r="B24" s="26" t="s">
        <v>34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2:F3"/>
    <mergeCell ref="B4:F4"/>
    <mergeCell ref="B6:C6"/>
    <mergeCell ref="E6:F6"/>
    <mergeCell ref="B14:C14"/>
    <mergeCell ref="E14:F14"/>
    <mergeCell ref="B24:F24"/>
  </mergeCells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20.0"/>
    <col customWidth="1" min="4" max="4" width="14.0"/>
    <col customWidth="1" min="5" max="5" width="34.0"/>
    <col customWidth="1" min="6" max="6" width="14.0"/>
    <col customWidth="1" min="7" max="7" width="12.0"/>
    <col customWidth="1" min="8" max="8" width="18.0"/>
    <col customWidth="1" min="9" max="9" width="30.0"/>
    <col customWidth="1" min="10" max="26" width="8.71"/>
  </cols>
  <sheetData>
    <row r="1" ht="24.0" customHeight="1">
      <c r="A1" s="27" t="s">
        <v>35</v>
      </c>
      <c r="B1" s="28"/>
      <c r="C1" s="28"/>
      <c r="D1" s="28"/>
      <c r="E1" s="28"/>
      <c r="F1" s="28"/>
      <c r="G1" s="28"/>
      <c r="H1" s="28"/>
      <c r="I1" s="9"/>
    </row>
    <row r="2" ht="27.75" customHeight="1">
      <c r="A2" s="29" t="s">
        <v>36</v>
      </c>
      <c r="B2" s="29" t="s">
        <v>37</v>
      </c>
      <c r="C2" s="29" t="s">
        <v>22</v>
      </c>
      <c r="D2" s="29" t="s">
        <v>38</v>
      </c>
      <c r="E2" s="29" t="s">
        <v>39</v>
      </c>
      <c r="F2" s="29" t="s">
        <v>40</v>
      </c>
      <c r="G2" s="29" t="s">
        <v>41</v>
      </c>
      <c r="H2" s="29" t="s">
        <v>42</v>
      </c>
      <c r="I2" s="29" t="s">
        <v>43</v>
      </c>
    </row>
    <row r="3">
      <c r="A3" s="30">
        <v>46220.0</v>
      </c>
      <c r="B3" s="31" t="str">
        <f>IFERROR(TEXT(A3,"ddd"),"")</f>
        <v>Fri</v>
      </c>
      <c r="C3" s="32" t="s">
        <v>30</v>
      </c>
      <c r="D3" s="33">
        <v>579.07</v>
      </c>
      <c r="E3" s="32" t="s">
        <v>44</v>
      </c>
      <c r="F3" s="34" t="s">
        <v>45</v>
      </c>
      <c r="G3" s="31"/>
      <c r="H3" s="15">
        <f>IF(A3="","",Dashboard!$F$9-SUM($D$3:D3))</f>
        <v>1820.93</v>
      </c>
      <c r="I3" s="35"/>
    </row>
    <row r="4">
      <c r="A4" s="30">
        <v>46221.0</v>
      </c>
      <c r="B4" s="31" t="str">
        <f t="shared" ref="B4:B202" si="1">IF(A4="","",TEXT(A4,"ddd"))</f>
        <v>Sat</v>
      </c>
      <c r="C4" s="32" t="s">
        <v>30</v>
      </c>
      <c r="D4" s="33">
        <v>450.64</v>
      </c>
      <c r="E4" s="32" t="s">
        <v>46</v>
      </c>
      <c r="F4" s="34" t="s">
        <v>45</v>
      </c>
      <c r="G4" s="31"/>
      <c r="H4" s="15">
        <f>IF(A4="","",Dashboard!$F$9-SUM($D$3:D4))</f>
        <v>1370.29</v>
      </c>
      <c r="I4" s="16"/>
    </row>
    <row r="5">
      <c r="A5" s="36"/>
      <c r="B5" s="31" t="str">
        <f t="shared" si="1"/>
        <v/>
      </c>
      <c r="C5" s="16"/>
      <c r="D5" s="15"/>
      <c r="E5" s="16"/>
      <c r="F5" s="31"/>
      <c r="G5" s="31"/>
      <c r="H5" s="15" t="str">
        <f>IF(A5="","",Dashboard!$F$9-SUM($D$3:D5))</f>
        <v/>
      </c>
      <c r="I5" s="16"/>
    </row>
    <row r="6">
      <c r="A6" s="36"/>
      <c r="B6" s="31" t="str">
        <f t="shared" si="1"/>
        <v/>
      </c>
      <c r="C6" s="16"/>
      <c r="D6" s="15"/>
      <c r="E6" s="16"/>
      <c r="F6" s="31"/>
      <c r="G6" s="31"/>
      <c r="H6" s="15" t="str">
        <f>IF(A6="","",Dashboard!$F$9-SUM($D$3:D6))</f>
        <v/>
      </c>
      <c r="I6" s="16"/>
    </row>
    <row r="7">
      <c r="A7" s="36"/>
      <c r="B7" s="31" t="str">
        <f t="shared" si="1"/>
        <v/>
      </c>
      <c r="C7" s="16"/>
      <c r="D7" s="15"/>
      <c r="E7" s="16"/>
      <c r="F7" s="31"/>
      <c r="G7" s="31"/>
      <c r="H7" s="15" t="str">
        <f>IF(A7="","",Dashboard!$F$9-SUM($D$3:D7))</f>
        <v/>
      </c>
      <c r="I7" s="16"/>
    </row>
    <row r="8">
      <c r="A8" s="36"/>
      <c r="B8" s="31" t="str">
        <f t="shared" si="1"/>
        <v/>
      </c>
      <c r="C8" s="16"/>
      <c r="D8" s="15"/>
      <c r="E8" s="16"/>
      <c r="F8" s="31"/>
      <c r="G8" s="31"/>
      <c r="H8" s="15" t="str">
        <f>IF(A8="","",Dashboard!$F$9-SUM($D$3:D8))</f>
        <v/>
      </c>
      <c r="I8" s="16"/>
    </row>
    <row r="9">
      <c r="A9" s="36"/>
      <c r="B9" s="31" t="str">
        <f t="shared" si="1"/>
        <v/>
      </c>
      <c r="C9" s="16"/>
      <c r="D9" s="15"/>
      <c r="E9" s="16"/>
      <c r="F9" s="31"/>
      <c r="G9" s="31"/>
      <c r="H9" s="15" t="str">
        <f>IF(A9="","",Dashboard!$F$9-SUM($D$3:D9))</f>
        <v/>
      </c>
      <c r="I9" s="16"/>
    </row>
    <row r="10">
      <c r="A10" s="36"/>
      <c r="B10" s="31" t="str">
        <f t="shared" si="1"/>
        <v/>
      </c>
      <c r="C10" s="16"/>
      <c r="D10" s="15"/>
      <c r="E10" s="16"/>
      <c r="F10" s="31"/>
      <c r="G10" s="31"/>
      <c r="H10" s="15" t="str">
        <f>IF(A10="","",Dashboard!$F$9-SUM($D$3:D10))</f>
        <v/>
      </c>
      <c r="I10" s="16"/>
    </row>
    <row r="11">
      <c r="A11" s="36"/>
      <c r="B11" s="31" t="str">
        <f t="shared" si="1"/>
        <v/>
      </c>
      <c r="C11" s="16"/>
      <c r="D11" s="15"/>
      <c r="E11" s="16"/>
      <c r="F11" s="31"/>
      <c r="G11" s="31"/>
      <c r="H11" s="15" t="str">
        <f>IF(A11="","",Dashboard!$F$9-SUM($D$3:D11))</f>
        <v/>
      </c>
      <c r="I11" s="16"/>
    </row>
    <row r="12">
      <c r="A12" s="36"/>
      <c r="B12" s="31" t="str">
        <f t="shared" si="1"/>
        <v/>
      </c>
      <c r="C12" s="16"/>
      <c r="D12" s="15"/>
      <c r="E12" s="16"/>
      <c r="F12" s="31"/>
      <c r="G12" s="31"/>
      <c r="H12" s="15" t="str">
        <f>IF(A12="","",Dashboard!$F$9-SUM($D$3:D12))</f>
        <v/>
      </c>
      <c r="I12" s="16"/>
    </row>
    <row r="13">
      <c r="A13" s="36"/>
      <c r="B13" s="31" t="str">
        <f t="shared" si="1"/>
        <v/>
      </c>
      <c r="C13" s="16"/>
      <c r="D13" s="15"/>
      <c r="E13" s="16"/>
      <c r="F13" s="31"/>
      <c r="G13" s="31"/>
      <c r="H13" s="15" t="str">
        <f>IF(A13="","",Dashboard!$F$9-SUM($D$3:D13))</f>
        <v/>
      </c>
      <c r="I13" s="16"/>
    </row>
    <row r="14">
      <c r="A14" s="36"/>
      <c r="B14" s="31" t="str">
        <f t="shared" si="1"/>
        <v/>
      </c>
      <c r="C14" s="16"/>
      <c r="D14" s="15"/>
      <c r="E14" s="16"/>
      <c r="F14" s="31"/>
      <c r="G14" s="31"/>
      <c r="H14" s="15" t="str">
        <f>IF(A14="","",Dashboard!$F$9-SUM($D$3:D14))</f>
        <v/>
      </c>
      <c r="I14" s="16"/>
    </row>
    <row r="15">
      <c r="A15" s="36"/>
      <c r="B15" s="31" t="str">
        <f t="shared" si="1"/>
        <v/>
      </c>
      <c r="C15" s="16"/>
      <c r="D15" s="15"/>
      <c r="E15" s="16"/>
      <c r="F15" s="31"/>
      <c r="G15" s="31"/>
      <c r="H15" s="15" t="str">
        <f>IF(A15="","",Dashboard!$F$9-SUM($D$3:D15))</f>
        <v/>
      </c>
      <c r="I15" s="16"/>
    </row>
    <row r="16">
      <c r="A16" s="36"/>
      <c r="B16" s="31" t="str">
        <f t="shared" si="1"/>
        <v/>
      </c>
      <c r="C16" s="16"/>
      <c r="D16" s="15"/>
      <c r="E16" s="16"/>
      <c r="F16" s="31"/>
      <c r="G16" s="31"/>
      <c r="H16" s="15" t="str">
        <f>IF(A16="","",Dashboard!$F$9-SUM($D$3:D16))</f>
        <v/>
      </c>
      <c r="I16" s="16"/>
    </row>
    <row r="17">
      <c r="A17" s="36"/>
      <c r="B17" s="31" t="str">
        <f t="shared" si="1"/>
        <v/>
      </c>
      <c r="C17" s="16"/>
      <c r="D17" s="15"/>
      <c r="E17" s="16"/>
      <c r="F17" s="31"/>
      <c r="G17" s="31"/>
      <c r="H17" s="15" t="str">
        <f>IF(A17="","",Dashboard!$F$9-SUM($D$3:D17))</f>
        <v/>
      </c>
      <c r="I17" s="16"/>
    </row>
    <row r="18">
      <c r="A18" s="36"/>
      <c r="B18" s="31" t="str">
        <f t="shared" si="1"/>
        <v/>
      </c>
      <c r="C18" s="16"/>
      <c r="D18" s="15"/>
      <c r="E18" s="16"/>
      <c r="F18" s="31"/>
      <c r="G18" s="31"/>
      <c r="H18" s="15" t="str">
        <f>IF(A18="","",Dashboard!$F$9-SUM($D$3:D18))</f>
        <v/>
      </c>
      <c r="I18" s="16"/>
    </row>
    <row r="19">
      <c r="A19" s="36"/>
      <c r="B19" s="31" t="str">
        <f t="shared" si="1"/>
        <v/>
      </c>
      <c r="C19" s="16"/>
      <c r="D19" s="15"/>
      <c r="E19" s="16"/>
      <c r="F19" s="31"/>
      <c r="G19" s="31"/>
      <c r="H19" s="15" t="str">
        <f>IF(A19="","",Dashboard!$F$9-SUM($D$3:D19))</f>
        <v/>
      </c>
      <c r="I19" s="16"/>
    </row>
    <row r="20">
      <c r="A20" s="36"/>
      <c r="B20" s="31" t="str">
        <f t="shared" si="1"/>
        <v/>
      </c>
      <c r="C20" s="16"/>
      <c r="D20" s="15"/>
      <c r="E20" s="16"/>
      <c r="F20" s="31"/>
      <c r="G20" s="31"/>
      <c r="H20" s="15" t="str">
        <f>IF(A20="","",Dashboard!$F$9-SUM($D$3:D20))</f>
        <v/>
      </c>
      <c r="I20" s="16"/>
    </row>
    <row r="21" ht="15.75" customHeight="1">
      <c r="A21" s="36"/>
      <c r="B21" s="31" t="str">
        <f t="shared" si="1"/>
        <v/>
      </c>
      <c r="C21" s="16"/>
      <c r="D21" s="15"/>
      <c r="E21" s="16"/>
      <c r="F21" s="31"/>
      <c r="G21" s="31"/>
      <c r="H21" s="15" t="str">
        <f>IF(A21="","",Dashboard!$F$9-SUM($D$3:D21))</f>
        <v/>
      </c>
      <c r="I21" s="16"/>
    </row>
    <row r="22" ht="15.75" customHeight="1">
      <c r="A22" s="36"/>
      <c r="B22" s="31" t="str">
        <f t="shared" si="1"/>
        <v/>
      </c>
      <c r="C22" s="16"/>
      <c r="D22" s="15"/>
      <c r="E22" s="16"/>
      <c r="F22" s="31"/>
      <c r="G22" s="31"/>
      <c r="H22" s="15" t="str">
        <f>IF(A22="","",Dashboard!$F$9-SUM($D$3:D22))</f>
        <v/>
      </c>
      <c r="I22" s="16"/>
    </row>
    <row r="23" ht="15.75" customHeight="1">
      <c r="A23" s="36"/>
      <c r="B23" s="31" t="str">
        <f t="shared" si="1"/>
        <v/>
      </c>
      <c r="C23" s="16"/>
      <c r="D23" s="15"/>
      <c r="E23" s="16"/>
      <c r="F23" s="31"/>
      <c r="G23" s="31"/>
      <c r="H23" s="15" t="str">
        <f>IF(A23="","",Dashboard!$F$9-SUM($D$3:D23))</f>
        <v/>
      </c>
      <c r="I23" s="16"/>
    </row>
    <row r="24" ht="15.75" customHeight="1">
      <c r="A24" s="36"/>
      <c r="B24" s="31" t="str">
        <f t="shared" si="1"/>
        <v/>
      </c>
      <c r="C24" s="16"/>
      <c r="D24" s="15"/>
      <c r="E24" s="16"/>
      <c r="F24" s="31"/>
      <c r="G24" s="31"/>
      <c r="H24" s="15" t="str">
        <f>IF(A24="","",Dashboard!$F$9-SUM($D$3:D24))</f>
        <v/>
      </c>
      <c r="I24" s="16"/>
    </row>
    <row r="25" ht="15.75" customHeight="1">
      <c r="A25" s="36"/>
      <c r="B25" s="31" t="str">
        <f t="shared" si="1"/>
        <v/>
      </c>
      <c r="C25" s="16"/>
      <c r="D25" s="15"/>
      <c r="E25" s="16"/>
      <c r="F25" s="31"/>
      <c r="G25" s="31"/>
      <c r="H25" s="15" t="str">
        <f>IF(A25="","",Dashboard!$F$9-SUM($D$3:D25))</f>
        <v/>
      </c>
      <c r="I25" s="16"/>
    </row>
    <row r="26" ht="15.75" customHeight="1">
      <c r="A26" s="36"/>
      <c r="B26" s="31" t="str">
        <f t="shared" si="1"/>
        <v/>
      </c>
      <c r="C26" s="16"/>
      <c r="D26" s="15"/>
      <c r="E26" s="16"/>
      <c r="F26" s="31"/>
      <c r="G26" s="31"/>
      <c r="H26" s="15" t="str">
        <f>IF(A26="","",Dashboard!$F$9-SUM($D$3:D26))</f>
        <v/>
      </c>
      <c r="I26" s="16"/>
    </row>
    <row r="27" ht="15.75" customHeight="1">
      <c r="A27" s="36"/>
      <c r="B27" s="31" t="str">
        <f t="shared" si="1"/>
        <v/>
      </c>
      <c r="C27" s="16"/>
      <c r="D27" s="15"/>
      <c r="E27" s="16"/>
      <c r="F27" s="31"/>
      <c r="G27" s="31"/>
      <c r="H27" s="15" t="str">
        <f>IF(A27="","",Dashboard!$F$9-SUM($D$3:D27))</f>
        <v/>
      </c>
      <c r="I27" s="16"/>
    </row>
    <row r="28" ht="15.75" customHeight="1">
      <c r="A28" s="36"/>
      <c r="B28" s="31" t="str">
        <f t="shared" si="1"/>
        <v/>
      </c>
      <c r="C28" s="16"/>
      <c r="D28" s="15"/>
      <c r="E28" s="16"/>
      <c r="F28" s="31"/>
      <c r="G28" s="31"/>
      <c r="H28" s="15" t="str">
        <f>IF(A28="","",Dashboard!$F$9-SUM($D$3:D28))</f>
        <v/>
      </c>
      <c r="I28" s="16"/>
    </row>
    <row r="29" ht="15.75" customHeight="1">
      <c r="A29" s="36"/>
      <c r="B29" s="31" t="str">
        <f t="shared" si="1"/>
        <v/>
      </c>
      <c r="C29" s="16"/>
      <c r="D29" s="15"/>
      <c r="E29" s="16"/>
      <c r="F29" s="31"/>
      <c r="G29" s="31"/>
      <c r="H29" s="15" t="str">
        <f>IF(A29="","",Dashboard!$F$9-SUM($D$3:D29))</f>
        <v/>
      </c>
      <c r="I29" s="16"/>
    </row>
    <row r="30" ht="15.75" customHeight="1">
      <c r="A30" s="36"/>
      <c r="B30" s="31" t="str">
        <f t="shared" si="1"/>
        <v/>
      </c>
      <c r="C30" s="16"/>
      <c r="D30" s="15"/>
      <c r="E30" s="16"/>
      <c r="F30" s="31"/>
      <c r="G30" s="31"/>
      <c r="H30" s="15" t="str">
        <f>IF(A30="","",Dashboard!$F$9-SUM($D$3:D30))</f>
        <v/>
      </c>
      <c r="I30" s="16"/>
    </row>
    <row r="31" ht="15.75" customHeight="1">
      <c r="A31" s="36"/>
      <c r="B31" s="31" t="str">
        <f t="shared" si="1"/>
        <v/>
      </c>
      <c r="C31" s="16"/>
      <c r="D31" s="15"/>
      <c r="E31" s="16"/>
      <c r="F31" s="31"/>
      <c r="G31" s="31"/>
      <c r="H31" s="15" t="str">
        <f>IF(A31="","",Dashboard!$F$9-SUM($D$3:D31))</f>
        <v/>
      </c>
      <c r="I31" s="16"/>
    </row>
    <row r="32" ht="15.75" customHeight="1">
      <c r="A32" s="36"/>
      <c r="B32" s="31" t="str">
        <f t="shared" si="1"/>
        <v/>
      </c>
      <c r="C32" s="16"/>
      <c r="D32" s="15"/>
      <c r="E32" s="16"/>
      <c r="F32" s="31"/>
      <c r="G32" s="31"/>
      <c r="H32" s="15" t="str">
        <f>IF(A32="","",Dashboard!$F$9-SUM($D$3:D32))</f>
        <v/>
      </c>
      <c r="I32" s="16"/>
    </row>
    <row r="33" ht="15.75" customHeight="1">
      <c r="A33" s="36"/>
      <c r="B33" s="31" t="str">
        <f t="shared" si="1"/>
        <v/>
      </c>
      <c r="C33" s="16"/>
      <c r="D33" s="15"/>
      <c r="E33" s="16"/>
      <c r="F33" s="31"/>
      <c r="G33" s="31"/>
      <c r="H33" s="15" t="str">
        <f>IF(A33="","",Dashboard!$F$9-SUM($D$3:D33))</f>
        <v/>
      </c>
      <c r="I33" s="16"/>
    </row>
    <row r="34" ht="15.75" customHeight="1">
      <c r="A34" s="36"/>
      <c r="B34" s="31" t="str">
        <f t="shared" si="1"/>
        <v/>
      </c>
      <c r="C34" s="16"/>
      <c r="D34" s="15"/>
      <c r="E34" s="16"/>
      <c r="F34" s="31"/>
      <c r="G34" s="31"/>
      <c r="H34" s="15" t="str">
        <f>IF(A34="","",Dashboard!$F$9-SUM($D$3:D34))</f>
        <v/>
      </c>
      <c r="I34" s="16"/>
    </row>
    <row r="35" ht="15.75" customHeight="1">
      <c r="A35" s="36"/>
      <c r="B35" s="31" t="str">
        <f t="shared" si="1"/>
        <v/>
      </c>
      <c r="C35" s="16"/>
      <c r="D35" s="15"/>
      <c r="E35" s="16"/>
      <c r="F35" s="31"/>
      <c r="G35" s="31"/>
      <c r="H35" s="15" t="str">
        <f>IF(A35="","",Dashboard!$F$9-SUM($D$3:D35))</f>
        <v/>
      </c>
      <c r="I35" s="16"/>
    </row>
    <row r="36" ht="15.75" customHeight="1">
      <c r="A36" s="36"/>
      <c r="B36" s="31" t="str">
        <f t="shared" si="1"/>
        <v/>
      </c>
      <c r="C36" s="16"/>
      <c r="D36" s="15"/>
      <c r="E36" s="16"/>
      <c r="F36" s="31"/>
      <c r="G36" s="31"/>
      <c r="H36" s="15" t="str">
        <f>IF(A36="","",Dashboard!$F$9-SUM($D$3:D36))</f>
        <v/>
      </c>
      <c r="I36" s="16"/>
    </row>
    <row r="37" ht="15.75" customHeight="1">
      <c r="A37" s="36"/>
      <c r="B37" s="31" t="str">
        <f t="shared" si="1"/>
        <v/>
      </c>
      <c r="C37" s="16"/>
      <c r="D37" s="15"/>
      <c r="E37" s="16"/>
      <c r="F37" s="31"/>
      <c r="G37" s="31"/>
      <c r="H37" s="15" t="str">
        <f>IF(A37="","",Dashboard!$F$9-SUM($D$3:D37))</f>
        <v/>
      </c>
      <c r="I37" s="16"/>
    </row>
    <row r="38" ht="15.75" customHeight="1">
      <c r="A38" s="36"/>
      <c r="B38" s="31" t="str">
        <f t="shared" si="1"/>
        <v/>
      </c>
      <c r="C38" s="16"/>
      <c r="D38" s="15"/>
      <c r="E38" s="16"/>
      <c r="F38" s="31"/>
      <c r="G38" s="31"/>
      <c r="H38" s="15" t="str">
        <f>IF(A38="","",Dashboard!$F$9-SUM($D$3:D38))</f>
        <v/>
      </c>
      <c r="I38" s="16"/>
    </row>
    <row r="39" ht="15.75" customHeight="1">
      <c r="A39" s="36"/>
      <c r="B39" s="31" t="str">
        <f t="shared" si="1"/>
        <v/>
      </c>
      <c r="C39" s="16"/>
      <c r="D39" s="15"/>
      <c r="E39" s="16"/>
      <c r="F39" s="31"/>
      <c r="G39" s="31"/>
      <c r="H39" s="15" t="str">
        <f>IF(A39="","",Dashboard!$F$9-SUM($D$3:D39))</f>
        <v/>
      </c>
      <c r="I39" s="16"/>
    </row>
    <row r="40" ht="15.75" customHeight="1">
      <c r="A40" s="36"/>
      <c r="B40" s="31" t="str">
        <f t="shared" si="1"/>
        <v/>
      </c>
      <c r="C40" s="16"/>
      <c r="D40" s="15"/>
      <c r="E40" s="16"/>
      <c r="F40" s="31"/>
      <c r="G40" s="31"/>
      <c r="H40" s="15" t="str">
        <f>IF(A40="","",Dashboard!$F$9-SUM($D$3:D40))</f>
        <v/>
      </c>
      <c r="I40" s="16"/>
    </row>
    <row r="41" ht="15.75" customHeight="1">
      <c r="A41" s="36"/>
      <c r="B41" s="31" t="str">
        <f t="shared" si="1"/>
        <v/>
      </c>
      <c r="C41" s="16"/>
      <c r="D41" s="15"/>
      <c r="E41" s="16"/>
      <c r="F41" s="31"/>
      <c r="G41" s="31"/>
      <c r="H41" s="15" t="str">
        <f>IF(A41="","",Dashboard!$F$9-SUM($D$3:D41))</f>
        <v/>
      </c>
      <c r="I41" s="16"/>
    </row>
    <row r="42" ht="15.75" customHeight="1">
      <c r="A42" s="36"/>
      <c r="B42" s="31" t="str">
        <f t="shared" si="1"/>
        <v/>
      </c>
      <c r="C42" s="16"/>
      <c r="D42" s="15"/>
      <c r="E42" s="16"/>
      <c r="F42" s="31"/>
      <c r="G42" s="31"/>
      <c r="H42" s="15" t="str">
        <f>IF(A42="","",Dashboard!$F$9-SUM($D$3:D42))</f>
        <v/>
      </c>
      <c r="I42" s="16"/>
    </row>
    <row r="43" ht="15.75" customHeight="1">
      <c r="A43" s="36"/>
      <c r="B43" s="31" t="str">
        <f t="shared" si="1"/>
        <v/>
      </c>
      <c r="C43" s="16"/>
      <c r="D43" s="15"/>
      <c r="E43" s="16"/>
      <c r="F43" s="31"/>
      <c r="G43" s="31"/>
      <c r="H43" s="15" t="str">
        <f>IF(A43="","",Dashboard!$F$9-SUM($D$3:D43))</f>
        <v/>
      </c>
      <c r="I43" s="16"/>
    </row>
    <row r="44" ht="15.75" customHeight="1">
      <c r="A44" s="36"/>
      <c r="B44" s="31" t="str">
        <f t="shared" si="1"/>
        <v/>
      </c>
      <c r="C44" s="16"/>
      <c r="D44" s="15"/>
      <c r="E44" s="16"/>
      <c r="F44" s="31"/>
      <c r="G44" s="31"/>
      <c r="H44" s="15" t="str">
        <f>IF(A44="","",Dashboard!$F$9-SUM($D$3:D44))</f>
        <v/>
      </c>
      <c r="I44" s="16"/>
    </row>
    <row r="45" ht="15.75" customHeight="1">
      <c r="A45" s="36"/>
      <c r="B45" s="31" t="str">
        <f t="shared" si="1"/>
        <v/>
      </c>
      <c r="C45" s="16"/>
      <c r="D45" s="15"/>
      <c r="E45" s="16"/>
      <c r="F45" s="31"/>
      <c r="G45" s="31"/>
      <c r="H45" s="15" t="str">
        <f>IF(A45="","",Dashboard!$F$9-SUM($D$3:D45))</f>
        <v/>
      </c>
      <c r="I45" s="16"/>
    </row>
    <row r="46" ht="15.75" customHeight="1">
      <c r="A46" s="36"/>
      <c r="B46" s="31" t="str">
        <f t="shared" si="1"/>
        <v/>
      </c>
      <c r="C46" s="16"/>
      <c r="D46" s="15"/>
      <c r="E46" s="16"/>
      <c r="F46" s="31"/>
      <c r="G46" s="31"/>
      <c r="H46" s="15" t="str">
        <f>IF(A46="","",Dashboard!$F$9-SUM($D$3:D46))</f>
        <v/>
      </c>
      <c r="I46" s="16"/>
    </row>
    <row r="47" ht="15.75" customHeight="1">
      <c r="A47" s="36"/>
      <c r="B47" s="31" t="str">
        <f t="shared" si="1"/>
        <v/>
      </c>
      <c r="C47" s="16"/>
      <c r="D47" s="15"/>
      <c r="E47" s="16"/>
      <c r="F47" s="31"/>
      <c r="G47" s="31"/>
      <c r="H47" s="15" t="str">
        <f>IF(A47="","",Dashboard!$F$9-SUM($D$3:D47))</f>
        <v/>
      </c>
      <c r="I47" s="16"/>
    </row>
    <row r="48" ht="15.75" customHeight="1">
      <c r="A48" s="36"/>
      <c r="B48" s="31" t="str">
        <f t="shared" si="1"/>
        <v/>
      </c>
      <c r="C48" s="16"/>
      <c r="D48" s="15"/>
      <c r="E48" s="16"/>
      <c r="F48" s="31"/>
      <c r="G48" s="31"/>
      <c r="H48" s="15" t="str">
        <f>IF(A48="","",Dashboard!$F$9-SUM($D$3:D48))</f>
        <v/>
      </c>
      <c r="I48" s="16"/>
    </row>
    <row r="49" ht="15.75" customHeight="1">
      <c r="A49" s="36"/>
      <c r="B49" s="31" t="str">
        <f t="shared" si="1"/>
        <v/>
      </c>
      <c r="C49" s="16"/>
      <c r="D49" s="15"/>
      <c r="E49" s="16"/>
      <c r="F49" s="31"/>
      <c r="G49" s="31"/>
      <c r="H49" s="15" t="str">
        <f>IF(A49="","",Dashboard!$F$9-SUM($D$3:D49))</f>
        <v/>
      </c>
      <c r="I49" s="16"/>
    </row>
    <row r="50" ht="15.75" customHeight="1">
      <c r="A50" s="36"/>
      <c r="B50" s="31" t="str">
        <f t="shared" si="1"/>
        <v/>
      </c>
      <c r="C50" s="16"/>
      <c r="D50" s="15"/>
      <c r="E50" s="16"/>
      <c r="F50" s="31"/>
      <c r="G50" s="31"/>
      <c r="H50" s="15" t="str">
        <f>IF(A50="","",Dashboard!$F$9-SUM($D$3:D50))</f>
        <v/>
      </c>
      <c r="I50" s="16"/>
    </row>
    <row r="51" ht="15.75" customHeight="1">
      <c r="A51" s="36"/>
      <c r="B51" s="31" t="str">
        <f t="shared" si="1"/>
        <v/>
      </c>
      <c r="C51" s="16"/>
      <c r="D51" s="15"/>
      <c r="E51" s="16"/>
      <c r="F51" s="31"/>
      <c r="G51" s="31"/>
      <c r="H51" s="15" t="str">
        <f>IF(A51="","",Dashboard!$F$9-SUM($D$3:D51))</f>
        <v/>
      </c>
      <c r="I51" s="16"/>
    </row>
    <row r="52" ht="15.75" customHeight="1">
      <c r="A52" s="36"/>
      <c r="B52" s="31" t="str">
        <f t="shared" si="1"/>
        <v/>
      </c>
      <c r="C52" s="16"/>
      <c r="D52" s="15"/>
      <c r="E52" s="16"/>
      <c r="F52" s="31"/>
      <c r="G52" s="31"/>
      <c r="H52" s="15" t="str">
        <f>IF(A52="","",Dashboard!$F$9-SUM($D$3:D52))</f>
        <v/>
      </c>
      <c r="I52" s="16"/>
    </row>
    <row r="53" ht="15.75" customHeight="1">
      <c r="A53" s="36"/>
      <c r="B53" s="31" t="str">
        <f t="shared" si="1"/>
        <v/>
      </c>
      <c r="C53" s="16"/>
      <c r="D53" s="15"/>
      <c r="E53" s="16"/>
      <c r="F53" s="31"/>
      <c r="G53" s="31"/>
      <c r="H53" s="15" t="str">
        <f>IF(A53="","",Dashboard!$F$9-SUM($D$3:D53))</f>
        <v/>
      </c>
      <c r="I53" s="16"/>
    </row>
    <row r="54" ht="15.75" customHeight="1">
      <c r="A54" s="36"/>
      <c r="B54" s="31" t="str">
        <f t="shared" si="1"/>
        <v/>
      </c>
      <c r="C54" s="16"/>
      <c r="D54" s="15"/>
      <c r="E54" s="16"/>
      <c r="F54" s="31"/>
      <c r="G54" s="31"/>
      <c r="H54" s="15" t="str">
        <f>IF(A54="","",Dashboard!$F$9-SUM($D$3:D54))</f>
        <v/>
      </c>
      <c r="I54" s="16"/>
    </row>
    <row r="55" ht="15.75" customHeight="1">
      <c r="A55" s="36"/>
      <c r="B55" s="31" t="str">
        <f t="shared" si="1"/>
        <v/>
      </c>
      <c r="C55" s="16"/>
      <c r="D55" s="15"/>
      <c r="E55" s="16"/>
      <c r="F55" s="31"/>
      <c r="G55" s="31"/>
      <c r="H55" s="15" t="str">
        <f>IF(A55="","",Dashboard!$F$9-SUM($D$3:D55))</f>
        <v/>
      </c>
      <c r="I55" s="16"/>
    </row>
    <row r="56" ht="15.75" customHeight="1">
      <c r="A56" s="36"/>
      <c r="B56" s="31" t="str">
        <f t="shared" si="1"/>
        <v/>
      </c>
      <c r="C56" s="16"/>
      <c r="D56" s="15"/>
      <c r="E56" s="16"/>
      <c r="F56" s="31"/>
      <c r="G56" s="31"/>
      <c r="H56" s="15" t="str">
        <f>IF(A56="","",Dashboard!$F$9-SUM($D$3:D56))</f>
        <v/>
      </c>
      <c r="I56" s="16"/>
    </row>
    <row r="57" ht="15.75" customHeight="1">
      <c r="A57" s="36"/>
      <c r="B57" s="31" t="str">
        <f t="shared" si="1"/>
        <v/>
      </c>
      <c r="C57" s="16"/>
      <c r="D57" s="15"/>
      <c r="E57" s="16"/>
      <c r="F57" s="31"/>
      <c r="G57" s="31"/>
      <c r="H57" s="15" t="str">
        <f>IF(A57="","",Dashboard!$F$9-SUM($D$3:D57))</f>
        <v/>
      </c>
      <c r="I57" s="16"/>
    </row>
    <row r="58" ht="15.75" customHeight="1">
      <c r="A58" s="36"/>
      <c r="B58" s="31" t="str">
        <f t="shared" si="1"/>
        <v/>
      </c>
      <c r="C58" s="16"/>
      <c r="D58" s="15"/>
      <c r="E58" s="16"/>
      <c r="F58" s="31"/>
      <c r="G58" s="31"/>
      <c r="H58" s="15" t="str">
        <f>IF(A58="","",Dashboard!$F$9-SUM($D$3:D58))</f>
        <v/>
      </c>
      <c r="I58" s="16"/>
    </row>
    <row r="59" ht="15.75" customHeight="1">
      <c r="A59" s="36"/>
      <c r="B59" s="31" t="str">
        <f t="shared" si="1"/>
        <v/>
      </c>
      <c r="C59" s="16"/>
      <c r="D59" s="15"/>
      <c r="E59" s="16"/>
      <c r="F59" s="31"/>
      <c r="G59" s="31"/>
      <c r="H59" s="15" t="str">
        <f>IF(A59="","",Dashboard!$F$9-SUM($D$3:D59))</f>
        <v/>
      </c>
      <c r="I59" s="16"/>
    </row>
    <row r="60" ht="15.75" customHeight="1">
      <c r="A60" s="36"/>
      <c r="B60" s="31" t="str">
        <f t="shared" si="1"/>
        <v/>
      </c>
      <c r="C60" s="16"/>
      <c r="D60" s="15"/>
      <c r="E60" s="16"/>
      <c r="F60" s="31"/>
      <c r="G60" s="31"/>
      <c r="H60" s="15" t="str">
        <f>IF(A60="","",Dashboard!$F$9-SUM($D$3:D60))</f>
        <v/>
      </c>
      <c r="I60" s="16"/>
    </row>
    <row r="61" ht="15.75" customHeight="1">
      <c r="A61" s="36"/>
      <c r="B61" s="31" t="str">
        <f t="shared" si="1"/>
        <v/>
      </c>
      <c r="C61" s="16"/>
      <c r="D61" s="15"/>
      <c r="E61" s="16"/>
      <c r="F61" s="31"/>
      <c r="G61" s="31"/>
      <c r="H61" s="15" t="str">
        <f>IF(A61="","",Dashboard!$F$9-SUM($D$3:D61))</f>
        <v/>
      </c>
      <c r="I61" s="16"/>
    </row>
    <row r="62" ht="15.75" customHeight="1">
      <c r="A62" s="36"/>
      <c r="B62" s="31" t="str">
        <f t="shared" si="1"/>
        <v/>
      </c>
      <c r="C62" s="16"/>
      <c r="D62" s="15"/>
      <c r="E62" s="16"/>
      <c r="F62" s="31"/>
      <c r="G62" s="31"/>
      <c r="H62" s="15" t="str">
        <f>IF(A62="","",Dashboard!$F$9-SUM($D$3:D62))</f>
        <v/>
      </c>
      <c r="I62" s="16"/>
    </row>
    <row r="63" ht="15.75" customHeight="1">
      <c r="A63" s="36"/>
      <c r="B63" s="31" t="str">
        <f t="shared" si="1"/>
        <v/>
      </c>
      <c r="C63" s="16"/>
      <c r="D63" s="15"/>
      <c r="E63" s="16"/>
      <c r="F63" s="31"/>
      <c r="G63" s="31"/>
      <c r="H63" s="15" t="str">
        <f>IF(A63="","",Dashboard!$F$9-SUM($D$3:D63))</f>
        <v/>
      </c>
      <c r="I63" s="16"/>
    </row>
    <row r="64" ht="15.75" customHeight="1">
      <c r="A64" s="36"/>
      <c r="B64" s="31" t="str">
        <f t="shared" si="1"/>
        <v/>
      </c>
      <c r="C64" s="16"/>
      <c r="D64" s="15"/>
      <c r="E64" s="16"/>
      <c r="F64" s="31"/>
      <c r="G64" s="31"/>
      <c r="H64" s="15" t="str">
        <f>IF(A64="","",Dashboard!$F$9-SUM($D$3:D64))</f>
        <v/>
      </c>
      <c r="I64" s="16"/>
    </row>
    <row r="65" ht="15.75" customHeight="1">
      <c r="A65" s="36"/>
      <c r="B65" s="31" t="str">
        <f t="shared" si="1"/>
        <v/>
      </c>
      <c r="C65" s="16"/>
      <c r="D65" s="15"/>
      <c r="E65" s="16"/>
      <c r="F65" s="31"/>
      <c r="G65" s="31"/>
      <c r="H65" s="15" t="str">
        <f>IF(A65="","",Dashboard!$F$9-SUM($D$3:D65))</f>
        <v/>
      </c>
      <c r="I65" s="16"/>
    </row>
    <row r="66" ht="15.75" customHeight="1">
      <c r="A66" s="36"/>
      <c r="B66" s="31" t="str">
        <f t="shared" si="1"/>
        <v/>
      </c>
      <c r="C66" s="16"/>
      <c r="D66" s="15"/>
      <c r="E66" s="16"/>
      <c r="F66" s="31"/>
      <c r="G66" s="31"/>
      <c r="H66" s="15" t="str">
        <f>IF(A66="","",Dashboard!$F$9-SUM($D$3:D66))</f>
        <v/>
      </c>
      <c r="I66" s="16"/>
    </row>
    <row r="67" ht="15.75" customHeight="1">
      <c r="A67" s="36"/>
      <c r="B67" s="31" t="str">
        <f t="shared" si="1"/>
        <v/>
      </c>
      <c r="C67" s="16"/>
      <c r="D67" s="15"/>
      <c r="E67" s="16"/>
      <c r="F67" s="31"/>
      <c r="G67" s="31"/>
      <c r="H67" s="15" t="str">
        <f>IF(A67="","",Dashboard!$F$9-SUM($D$3:D67))</f>
        <v/>
      </c>
      <c r="I67" s="16"/>
    </row>
    <row r="68" ht="15.75" customHeight="1">
      <c r="A68" s="36"/>
      <c r="B68" s="31" t="str">
        <f t="shared" si="1"/>
        <v/>
      </c>
      <c r="C68" s="16"/>
      <c r="D68" s="15"/>
      <c r="E68" s="16"/>
      <c r="F68" s="31"/>
      <c r="G68" s="31"/>
      <c r="H68" s="15" t="str">
        <f>IF(A68="","",Dashboard!$F$9-SUM($D$3:D68))</f>
        <v/>
      </c>
      <c r="I68" s="16"/>
    </row>
    <row r="69" ht="15.75" customHeight="1">
      <c r="A69" s="36"/>
      <c r="B69" s="31" t="str">
        <f t="shared" si="1"/>
        <v/>
      </c>
      <c r="C69" s="16"/>
      <c r="D69" s="15"/>
      <c r="E69" s="16"/>
      <c r="F69" s="31"/>
      <c r="G69" s="31"/>
      <c r="H69" s="15" t="str">
        <f>IF(A69="","",Dashboard!$F$9-SUM($D$3:D69))</f>
        <v/>
      </c>
      <c r="I69" s="16"/>
    </row>
    <row r="70" ht="15.75" customHeight="1">
      <c r="A70" s="36"/>
      <c r="B70" s="31" t="str">
        <f t="shared" si="1"/>
        <v/>
      </c>
      <c r="C70" s="16"/>
      <c r="D70" s="15"/>
      <c r="E70" s="16"/>
      <c r="F70" s="31"/>
      <c r="G70" s="31"/>
      <c r="H70" s="15" t="str">
        <f>IF(A70="","",Dashboard!$F$9-SUM($D$3:D70))</f>
        <v/>
      </c>
      <c r="I70" s="16"/>
    </row>
    <row r="71" ht="15.75" customHeight="1">
      <c r="A71" s="36"/>
      <c r="B71" s="31" t="str">
        <f t="shared" si="1"/>
        <v/>
      </c>
      <c r="C71" s="16"/>
      <c r="D71" s="15"/>
      <c r="E71" s="16"/>
      <c r="F71" s="31"/>
      <c r="G71" s="31"/>
      <c r="H71" s="15" t="str">
        <f>IF(A71="","",Dashboard!$F$9-SUM($D$3:D71))</f>
        <v/>
      </c>
      <c r="I71" s="16"/>
    </row>
    <row r="72" ht="15.75" customHeight="1">
      <c r="A72" s="36"/>
      <c r="B72" s="31" t="str">
        <f t="shared" si="1"/>
        <v/>
      </c>
      <c r="C72" s="16"/>
      <c r="D72" s="15"/>
      <c r="E72" s="16"/>
      <c r="F72" s="31"/>
      <c r="G72" s="31"/>
      <c r="H72" s="15" t="str">
        <f>IF(A72="","",Dashboard!$F$9-SUM($D$3:D72))</f>
        <v/>
      </c>
      <c r="I72" s="16"/>
    </row>
    <row r="73" ht="15.75" customHeight="1">
      <c r="A73" s="36"/>
      <c r="B73" s="31" t="str">
        <f t="shared" si="1"/>
        <v/>
      </c>
      <c r="C73" s="16"/>
      <c r="D73" s="15"/>
      <c r="E73" s="16"/>
      <c r="F73" s="31"/>
      <c r="G73" s="31"/>
      <c r="H73" s="15" t="str">
        <f>IF(A73="","",Dashboard!$F$9-SUM($D$3:D73))</f>
        <v/>
      </c>
      <c r="I73" s="16"/>
    </row>
    <row r="74" ht="15.75" customHeight="1">
      <c r="A74" s="36"/>
      <c r="B74" s="31" t="str">
        <f t="shared" si="1"/>
        <v/>
      </c>
      <c r="C74" s="16"/>
      <c r="D74" s="15"/>
      <c r="E74" s="16"/>
      <c r="F74" s="31"/>
      <c r="G74" s="31"/>
      <c r="H74" s="15" t="str">
        <f>IF(A74="","",Dashboard!$F$9-SUM($D$3:D74))</f>
        <v/>
      </c>
      <c r="I74" s="16"/>
    </row>
    <row r="75" ht="15.75" customHeight="1">
      <c r="A75" s="36"/>
      <c r="B75" s="31" t="str">
        <f t="shared" si="1"/>
        <v/>
      </c>
      <c r="C75" s="16"/>
      <c r="D75" s="15"/>
      <c r="E75" s="16"/>
      <c r="F75" s="31"/>
      <c r="G75" s="31"/>
      <c r="H75" s="15" t="str">
        <f>IF(A75="","",Dashboard!$F$9-SUM($D$3:D75))</f>
        <v/>
      </c>
      <c r="I75" s="16"/>
    </row>
    <row r="76" ht="15.75" customHeight="1">
      <c r="A76" s="36"/>
      <c r="B76" s="31" t="str">
        <f t="shared" si="1"/>
        <v/>
      </c>
      <c r="C76" s="16"/>
      <c r="D76" s="15"/>
      <c r="E76" s="16"/>
      <c r="F76" s="31"/>
      <c r="G76" s="31"/>
      <c r="H76" s="15" t="str">
        <f>IF(A76="","",Dashboard!$F$9-SUM($D$3:D76))</f>
        <v/>
      </c>
      <c r="I76" s="16"/>
    </row>
    <row r="77" ht="15.75" customHeight="1">
      <c r="A77" s="36"/>
      <c r="B77" s="31" t="str">
        <f t="shared" si="1"/>
        <v/>
      </c>
      <c r="C77" s="16"/>
      <c r="D77" s="15"/>
      <c r="E77" s="16"/>
      <c r="F77" s="31"/>
      <c r="G77" s="31"/>
      <c r="H77" s="15" t="str">
        <f>IF(A77="","",Dashboard!$F$9-SUM($D$3:D77))</f>
        <v/>
      </c>
      <c r="I77" s="16"/>
    </row>
    <row r="78" ht="15.75" customHeight="1">
      <c r="A78" s="36"/>
      <c r="B78" s="31" t="str">
        <f t="shared" si="1"/>
        <v/>
      </c>
      <c r="C78" s="16"/>
      <c r="D78" s="15"/>
      <c r="E78" s="16"/>
      <c r="F78" s="31"/>
      <c r="G78" s="31"/>
      <c r="H78" s="15" t="str">
        <f>IF(A78="","",Dashboard!$F$9-SUM($D$3:D78))</f>
        <v/>
      </c>
      <c r="I78" s="16"/>
    </row>
    <row r="79" ht="15.75" customHeight="1">
      <c r="A79" s="36"/>
      <c r="B79" s="31" t="str">
        <f t="shared" si="1"/>
        <v/>
      </c>
      <c r="C79" s="16"/>
      <c r="D79" s="15"/>
      <c r="E79" s="16"/>
      <c r="F79" s="31"/>
      <c r="G79" s="31"/>
      <c r="H79" s="15" t="str">
        <f>IF(A79="","",Dashboard!$F$9-SUM($D$3:D79))</f>
        <v/>
      </c>
      <c r="I79" s="16"/>
    </row>
    <row r="80" ht="15.75" customHeight="1">
      <c r="A80" s="36"/>
      <c r="B80" s="31" t="str">
        <f t="shared" si="1"/>
        <v/>
      </c>
      <c r="C80" s="16"/>
      <c r="D80" s="15"/>
      <c r="E80" s="16"/>
      <c r="F80" s="31"/>
      <c r="G80" s="31"/>
      <c r="H80" s="15" t="str">
        <f>IF(A80="","",Dashboard!$F$9-SUM($D$3:D80))</f>
        <v/>
      </c>
      <c r="I80" s="16"/>
    </row>
    <row r="81" ht="15.75" customHeight="1">
      <c r="A81" s="36"/>
      <c r="B81" s="31" t="str">
        <f t="shared" si="1"/>
        <v/>
      </c>
      <c r="C81" s="16"/>
      <c r="D81" s="15"/>
      <c r="E81" s="16"/>
      <c r="F81" s="31"/>
      <c r="G81" s="31"/>
      <c r="H81" s="15" t="str">
        <f>IF(A81="","",Dashboard!$F$9-SUM($D$3:D81))</f>
        <v/>
      </c>
      <c r="I81" s="16"/>
    </row>
    <row r="82" ht="15.75" customHeight="1">
      <c r="A82" s="36"/>
      <c r="B82" s="31" t="str">
        <f t="shared" si="1"/>
        <v/>
      </c>
      <c r="C82" s="16"/>
      <c r="D82" s="15"/>
      <c r="E82" s="16"/>
      <c r="F82" s="31"/>
      <c r="G82" s="31"/>
      <c r="H82" s="15" t="str">
        <f>IF(A82="","",Dashboard!$F$9-SUM($D$3:D82))</f>
        <v/>
      </c>
      <c r="I82" s="16"/>
    </row>
    <row r="83" ht="15.75" customHeight="1">
      <c r="A83" s="36"/>
      <c r="B83" s="31" t="str">
        <f t="shared" si="1"/>
        <v/>
      </c>
      <c r="C83" s="16"/>
      <c r="D83" s="15"/>
      <c r="E83" s="16"/>
      <c r="F83" s="31"/>
      <c r="G83" s="31"/>
      <c r="H83" s="15" t="str">
        <f>IF(A83="","",Dashboard!$F$9-SUM($D$3:D83))</f>
        <v/>
      </c>
      <c r="I83" s="16"/>
    </row>
    <row r="84" ht="15.75" customHeight="1">
      <c r="A84" s="36"/>
      <c r="B84" s="31" t="str">
        <f t="shared" si="1"/>
        <v/>
      </c>
      <c r="C84" s="16"/>
      <c r="D84" s="15"/>
      <c r="E84" s="16"/>
      <c r="F84" s="31"/>
      <c r="G84" s="31"/>
      <c r="H84" s="15" t="str">
        <f>IF(A84="","",Dashboard!$F$9-SUM($D$3:D84))</f>
        <v/>
      </c>
      <c r="I84" s="16"/>
    </row>
    <row r="85" ht="15.75" customHeight="1">
      <c r="A85" s="36"/>
      <c r="B85" s="31" t="str">
        <f t="shared" si="1"/>
        <v/>
      </c>
      <c r="C85" s="16"/>
      <c r="D85" s="15"/>
      <c r="E85" s="16"/>
      <c r="F85" s="31"/>
      <c r="G85" s="31"/>
      <c r="H85" s="15" t="str">
        <f>IF(A85="","",Dashboard!$F$9-SUM($D$3:D85))</f>
        <v/>
      </c>
      <c r="I85" s="16"/>
    </row>
    <row r="86" ht="15.75" customHeight="1">
      <c r="A86" s="36"/>
      <c r="B86" s="31" t="str">
        <f t="shared" si="1"/>
        <v/>
      </c>
      <c r="C86" s="16"/>
      <c r="D86" s="15"/>
      <c r="E86" s="16"/>
      <c r="F86" s="31"/>
      <c r="G86" s="31"/>
      <c r="H86" s="15" t="str">
        <f>IF(A86="","",Dashboard!$F$9-SUM($D$3:D86))</f>
        <v/>
      </c>
      <c r="I86" s="16"/>
    </row>
    <row r="87" ht="15.75" customHeight="1">
      <c r="A87" s="36"/>
      <c r="B87" s="31" t="str">
        <f t="shared" si="1"/>
        <v/>
      </c>
      <c r="C87" s="16"/>
      <c r="D87" s="15"/>
      <c r="E87" s="16"/>
      <c r="F87" s="31"/>
      <c r="G87" s="31"/>
      <c r="H87" s="15" t="str">
        <f>IF(A87="","",Dashboard!$F$9-SUM($D$3:D87))</f>
        <v/>
      </c>
      <c r="I87" s="16"/>
    </row>
    <row r="88" ht="15.75" customHeight="1">
      <c r="A88" s="36"/>
      <c r="B88" s="31" t="str">
        <f t="shared" si="1"/>
        <v/>
      </c>
      <c r="C88" s="16"/>
      <c r="D88" s="15"/>
      <c r="E88" s="16"/>
      <c r="F88" s="31"/>
      <c r="G88" s="31"/>
      <c r="H88" s="15" t="str">
        <f>IF(A88="","",Dashboard!$F$9-SUM($D$3:D88))</f>
        <v/>
      </c>
      <c r="I88" s="16"/>
    </row>
    <row r="89" ht="15.75" customHeight="1">
      <c r="A89" s="36"/>
      <c r="B89" s="31" t="str">
        <f t="shared" si="1"/>
        <v/>
      </c>
      <c r="C89" s="16"/>
      <c r="D89" s="15"/>
      <c r="E89" s="16"/>
      <c r="F89" s="31"/>
      <c r="G89" s="31"/>
      <c r="H89" s="15" t="str">
        <f>IF(A89="","",Dashboard!$F$9-SUM($D$3:D89))</f>
        <v/>
      </c>
      <c r="I89" s="16"/>
    </row>
    <row r="90" ht="15.75" customHeight="1">
      <c r="A90" s="36"/>
      <c r="B90" s="31" t="str">
        <f t="shared" si="1"/>
        <v/>
      </c>
      <c r="C90" s="16"/>
      <c r="D90" s="15"/>
      <c r="E90" s="16"/>
      <c r="F90" s="31"/>
      <c r="G90" s="31"/>
      <c r="H90" s="15" t="str">
        <f>IF(A90="","",Dashboard!$F$9-SUM($D$3:D90))</f>
        <v/>
      </c>
      <c r="I90" s="16"/>
    </row>
    <row r="91" ht="15.75" customHeight="1">
      <c r="A91" s="36"/>
      <c r="B91" s="31" t="str">
        <f t="shared" si="1"/>
        <v/>
      </c>
      <c r="C91" s="16"/>
      <c r="D91" s="15"/>
      <c r="E91" s="16"/>
      <c r="F91" s="31"/>
      <c r="G91" s="31"/>
      <c r="H91" s="15" t="str">
        <f>IF(A91="","",Dashboard!$F$9-SUM($D$3:D91))</f>
        <v/>
      </c>
      <c r="I91" s="16"/>
    </row>
    <row r="92" ht="15.75" customHeight="1">
      <c r="A92" s="36"/>
      <c r="B92" s="31" t="str">
        <f t="shared" si="1"/>
        <v/>
      </c>
      <c r="C92" s="16"/>
      <c r="D92" s="15"/>
      <c r="E92" s="16"/>
      <c r="F92" s="31"/>
      <c r="G92" s="31"/>
      <c r="H92" s="15" t="str">
        <f>IF(A92="","",Dashboard!$F$9-SUM($D$3:D92))</f>
        <v/>
      </c>
      <c r="I92" s="16"/>
    </row>
    <row r="93" ht="15.75" customHeight="1">
      <c r="A93" s="36"/>
      <c r="B93" s="31" t="str">
        <f t="shared" si="1"/>
        <v/>
      </c>
      <c r="C93" s="16"/>
      <c r="D93" s="15"/>
      <c r="E93" s="16"/>
      <c r="F93" s="31"/>
      <c r="G93" s="31"/>
      <c r="H93" s="15" t="str">
        <f>IF(A93="","",Dashboard!$F$9-SUM($D$3:D93))</f>
        <v/>
      </c>
      <c r="I93" s="16"/>
    </row>
    <row r="94" ht="15.75" customHeight="1">
      <c r="A94" s="36"/>
      <c r="B94" s="31" t="str">
        <f t="shared" si="1"/>
        <v/>
      </c>
      <c r="C94" s="16"/>
      <c r="D94" s="15"/>
      <c r="E94" s="16"/>
      <c r="F94" s="31"/>
      <c r="G94" s="31"/>
      <c r="H94" s="15" t="str">
        <f>IF(A94="","",Dashboard!$F$9-SUM($D$3:D94))</f>
        <v/>
      </c>
      <c r="I94" s="16"/>
    </row>
    <row r="95" ht="15.75" customHeight="1">
      <c r="A95" s="36"/>
      <c r="B95" s="31" t="str">
        <f t="shared" si="1"/>
        <v/>
      </c>
      <c r="C95" s="16"/>
      <c r="D95" s="15"/>
      <c r="E95" s="16"/>
      <c r="F95" s="31"/>
      <c r="G95" s="31"/>
      <c r="H95" s="15" t="str">
        <f>IF(A95="","",Dashboard!$F$9-SUM($D$3:D95))</f>
        <v/>
      </c>
      <c r="I95" s="16"/>
    </row>
    <row r="96" ht="15.75" customHeight="1">
      <c r="A96" s="36"/>
      <c r="B96" s="31" t="str">
        <f t="shared" si="1"/>
        <v/>
      </c>
      <c r="C96" s="16"/>
      <c r="D96" s="15"/>
      <c r="E96" s="16"/>
      <c r="F96" s="31"/>
      <c r="G96" s="31"/>
      <c r="H96" s="15" t="str">
        <f>IF(A96="","",Dashboard!$F$9-SUM($D$3:D96))</f>
        <v/>
      </c>
      <c r="I96" s="16"/>
    </row>
    <row r="97" ht="15.75" customHeight="1">
      <c r="A97" s="36"/>
      <c r="B97" s="31" t="str">
        <f t="shared" si="1"/>
        <v/>
      </c>
      <c r="C97" s="16"/>
      <c r="D97" s="15"/>
      <c r="E97" s="16"/>
      <c r="F97" s="31"/>
      <c r="G97" s="31"/>
      <c r="H97" s="15" t="str">
        <f>IF(A97="","",Dashboard!$F$9-SUM($D$3:D97))</f>
        <v/>
      </c>
      <c r="I97" s="16"/>
    </row>
    <row r="98" ht="15.75" customHeight="1">
      <c r="A98" s="36"/>
      <c r="B98" s="31" t="str">
        <f t="shared" si="1"/>
        <v/>
      </c>
      <c r="C98" s="16"/>
      <c r="D98" s="15"/>
      <c r="E98" s="16"/>
      <c r="F98" s="31"/>
      <c r="G98" s="31"/>
      <c r="H98" s="15" t="str">
        <f>IF(A98="","",Dashboard!$F$9-SUM($D$3:D98))</f>
        <v/>
      </c>
      <c r="I98" s="16"/>
    </row>
    <row r="99" ht="15.75" customHeight="1">
      <c r="A99" s="36"/>
      <c r="B99" s="31" t="str">
        <f t="shared" si="1"/>
        <v/>
      </c>
      <c r="C99" s="16"/>
      <c r="D99" s="15"/>
      <c r="E99" s="16"/>
      <c r="F99" s="31"/>
      <c r="G99" s="31"/>
      <c r="H99" s="15" t="str">
        <f>IF(A99="","",Dashboard!$F$9-SUM($D$3:D99))</f>
        <v/>
      </c>
      <c r="I99" s="16"/>
    </row>
    <row r="100" ht="15.75" customHeight="1">
      <c r="A100" s="36"/>
      <c r="B100" s="31" t="str">
        <f t="shared" si="1"/>
        <v/>
      </c>
      <c r="C100" s="16"/>
      <c r="D100" s="15"/>
      <c r="E100" s="16"/>
      <c r="F100" s="31"/>
      <c r="G100" s="31"/>
      <c r="H100" s="15" t="str">
        <f>IF(A100="","",Dashboard!$F$9-SUM($D$3:D100))</f>
        <v/>
      </c>
      <c r="I100" s="16"/>
    </row>
    <row r="101" ht="15.75" customHeight="1">
      <c r="A101" s="36"/>
      <c r="B101" s="31" t="str">
        <f t="shared" si="1"/>
        <v/>
      </c>
      <c r="C101" s="16"/>
      <c r="D101" s="15"/>
      <c r="E101" s="16"/>
      <c r="F101" s="31"/>
      <c r="G101" s="31"/>
      <c r="H101" s="15" t="str">
        <f>IF(A101="","",Dashboard!$F$9-SUM($D$3:D101))</f>
        <v/>
      </c>
      <c r="I101" s="16"/>
    </row>
    <row r="102" ht="15.75" customHeight="1">
      <c r="A102" s="36"/>
      <c r="B102" s="31" t="str">
        <f t="shared" si="1"/>
        <v/>
      </c>
      <c r="C102" s="16"/>
      <c r="D102" s="15"/>
      <c r="E102" s="16"/>
      <c r="F102" s="31"/>
      <c r="G102" s="31"/>
      <c r="H102" s="15" t="str">
        <f>IF(A102="","",Dashboard!$F$9-SUM($D$3:D102))</f>
        <v/>
      </c>
      <c r="I102" s="16"/>
    </row>
    <row r="103" ht="15.75" customHeight="1">
      <c r="A103" s="36"/>
      <c r="B103" s="31" t="str">
        <f t="shared" si="1"/>
        <v/>
      </c>
      <c r="C103" s="16"/>
      <c r="D103" s="15"/>
      <c r="E103" s="16"/>
      <c r="F103" s="31"/>
      <c r="G103" s="31"/>
      <c r="H103" s="15" t="str">
        <f>IF(A103="","",Dashboard!$F$9-SUM($D$3:D103))</f>
        <v/>
      </c>
      <c r="I103" s="16"/>
    </row>
    <row r="104" ht="15.75" customHeight="1">
      <c r="A104" s="36"/>
      <c r="B104" s="31" t="str">
        <f t="shared" si="1"/>
        <v/>
      </c>
      <c r="C104" s="16"/>
      <c r="D104" s="15"/>
      <c r="E104" s="16"/>
      <c r="F104" s="31"/>
      <c r="G104" s="31"/>
      <c r="H104" s="15" t="str">
        <f>IF(A104="","",Dashboard!$F$9-SUM($D$3:D104))</f>
        <v/>
      </c>
      <c r="I104" s="16"/>
    </row>
    <row r="105" ht="15.75" customHeight="1">
      <c r="A105" s="36"/>
      <c r="B105" s="31" t="str">
        <f t="shared" si="1"/>
        <v/>
      </c>
      <c r="C105" s="16"/>
      <c r="D105" s="15"/>
      <c r="E105" s="16"/>
      <c r="F105" s="31"/>
      <c r="G105" s="31"/>
      <c r="H105" s="15" t="str">
        <f>IF(A105="","",Dashboard!$F$9-SUM($D$3:D105))</f>
        <v/>
      </c>
      <c r="I105" s="16"/>
    </row>
    <row r="106" ht="15.75" customHeight="1">
      <c r="A106" s="36"/>
      <c r="B106" s="31" t="str">
        <f t="shared" si="1"/>
        <v/>
      </c>
      <c r="C106" s="16"/>
      <c r="D106" s="15"/>
      <c r="E106" s="16"/>
      <c r="F106" s="31"/>
      <c r="G106" s="31"/>
      <c r="H106" s="15" t="str">
        <f>IF(A106="","",Dashboard!$F$9-SUM($D$3:D106))</f>
        <v/>
      </c>
      <c r="I106" s="16"/>
    </row>
    <row r="107" ht="15.75" customHeight="1">
      <c r="A107" s="36"/>
      <c r="B107" s="31" t="str">
        <f t="shared" si="1"/>
        <v/>
      </c>
      <c r="C107" s="16"/>
      <c r="D107" s="15"/>
      <c r="E107" s="16"/>
      <c r="F107" s="31"/>
      <c r="G107" s="31"/>
      <c r="H107" s="15" t="str">
        <f>IF(A107="","",Dashboard!$F$9-SUM($D$3:D107))</f>
        <v/>
      </c>
      <c r="I107" s="16"/>
    </row>
    <row r="108" ht="15.75" customHeight="1">
      <c r="A108" s="36"/>
      <c r="B108" s="31" t="str">
        <f t="shared" si="1"/>
        <v/>
      </c>
      <c r="C108" s="16"/>
      <c r="D108" s="15"/>
      <c r="E108" s="16"/>
      <c r="F108" s="31"/>
      <c r="G108" s="31"/>
      <c r="H108" s="15" t="str">
        <f>IF(A108="","",Dashboard!$F$9-SUM($D$3:D108))</f>
        <v/>
      </c>
      <c r="I108" s="16"/>
    </row>
    <row r="109" ht="15.75" customHeight="1">
      <c r="A109" s="36"/>
      <c r="B109" s="31" t="str">
        <f t="shared" si="1"/>
        <v/>
      </c>
      <c r="C109" s="16"/>
      <c r="D109" s="15"/>
      <c r="E109" s="16"/>
      <c r="F109" s="31"/>
      <c r="G109" s="31"/>
      <c r="H109" s="15" t="str">
        <f>IF(A109="","",Dashboard!$F$9-SUM($D$3:D109))</f>
        <v/>
      </c>
      <c r="I109" s="16"/>
    </row>
    <row r="110" ht="15.75" customHeight="1">
      <c r="A110" s="36"/>
      <c r="B110" s="31" t="str">
        <f t="shared" si="1"/>
        <v/>
      </c>
      <c r="C110" s="16"/>
      <c r="D110" s="15"/>
      <c r="E110" s="16"/>
      <c r="F110" s="31"/>
      <c r="G110" s="31"/>
      <c r="H110" s="15" t="str">
        <f>IF(A110="","",Dashboard!$F$9-SUM($D$3:D110))</f>
        <v/>
      </c>
      <c r="I110" s="16"/>
    </row>
    <row r="111" ht="15.75" customHeight="1">
      <c r="A111" s="36"/>
      <c r="B111" s="31" t="str">
        <f t="shared" si="1"/>
        <v/>
      </c>
      <c r="C111" s="16"/>
      <c r="D111" s="15"/>
      <c r="E111" s="16"/>
      <c r="F111" s="31"/>
      <c r="G111" s="31"/>
      <c r="H111" s="15" t="str">
        <f>IF(A111="","",Dashboard!$F$9-SUM($D$3:D111))</f>
        <v/>
      </c>
      <c r="I111" s="16"/>
    </row>
    <row r="112" ht="15.75" customHeight="1">
      <c r="A112" s="36"/>
      <c r="B112" s="31" t="str">
        <f t="shared" si="1"/>
        <v/>
      </c>
      <c r="C112" s="16"/>
      <c r="D112" s="15"/>
      <c r="E112" s="16"/>
      <c r="F112" s="31"/>
      <c r="G112" s="31"/>
      <c r="H112" s="15" t="str">
        <f>IF(A112="","",Dashboard!$F$9-SUM($D$3:D112))</f>
        <v/>
      </c>
      <c r="I112" s="16"/>
    </row>
    <row r="113" ht="15.75" customHeight="1">
      <c r="A113" s="36"/>
      <c r="B113" s="31" t="str">
        <f t="shared" si="1"/>
        <v/>
      </c>
      <c r="C113" s="16"/>
      <c r="D113" s="15"/>
      <c r="E113" s="16"/>
      <c r="F113" s="31"/>
      <c r="G113" s="31"/>
      <c r="H113" s="15" t="str">
        <f>IF(A113="","",Dashboard!$F$9-SUM($D$3:D113))</f>
        <v/>
      </c>
      <c r="I113" s="16"/>
    </row>
    <row r="114" ht="15.75" customHeight="1">
      <c r="A114" s="36"/>
      <c r="B114" s="31" t="str">
        <f t="shared" si="1"/>
        <v/>
      </c>
      <c r="C114" s="16"/>
      <c r="D114" s="15"/>
      <c r="E114" s="16"/>
      <c r="F114" s="31"/>
      <c r="G114" s="31"/>
      <c r="H114" s="15" t="str">
        <f>IF(A114="","",Dashboard!$F$9-SUM($D$3:D114))</f>
        <v/>
      </c>
      <c r="I114" s="16"/>
    </row>
    <row r="115" ht="15.75" customHeight="1">
      <c r="A115" s="36"/>
      <c r="B115" s="31" t="str">
        <f t="shared" si="1"/>
        <v/>
      </c>
      <c r="C115" s="16"/>
      <c r="D115" s="15"/>
      <c r="E115" s="16"/>
      <c r="F115" s="31"/>
      <c r="G115" s="31"/>
      <c r="H115" s="15" t="str">
        <f>IF(A115="","",Dashboard!$F$9-SUM($D$3:D115))</f>
        <v/>
      </c>
      <c r="I115" s="16"/>
    </row>
    <row r="116" ht="15.75" customHeight="1">
      <c r="A116" s="36"/>
      <c r="B116" s="31" t="str">
        <f t="shared" si="1"/>
        <v/>
      </c>
      <c r="C116" s="16"/>
      <c r="D116" s="15"/>
      <c r="E116" s="16"/>
      <c r="F116" s="31"/>
      <c r="G116" s="31"/>
      <c r="H116" s="15" t="str">
        <f>IF(A116="","",Dashboard!$F$9-SUM($D$3:D116))</f>
        <v/>
      </c>
      <c r="I116" s="16"/>
    </row>
    <row r="117" ht="15.75" customHeight="1">
      <c r="A117" s="36"/>
      <c r="B117" s="31" t="str">
        <f t="shared" si="1"/>
        <v/>
      </c>
      <c r="C117" s="16"/>
      <c r="D117" s="15"/>
      <c r="E117" s="16"/>
      <c r="F117" s="31"/>
      <c r="G117" s="31"/>
      <c r="H117" s="15" t="str">
        <f>IF(A117="","",Dashboard!$F$9-SUM($D$3:D117))</f>
        <v/>
      </c>
      <c r="I117" s="16"/>
    </row>
    <row r="118" ht="15.75" customHeight="1">
      <c r="A118" s="36"/>
      <c r="B118" s="31" t="str">
        <f t="shared" si="1"/>
        <v/>
      </c>
      <c r="C118" s="16"/>
      <c r="D118" s="15"/>
      <c r="E118" s="16"/>
      <c r="F118" s="31"/>
      <c r="G118" s="31"/>
      <c r="H118" s="15" t="str">
        <f>IF(A118="","",Dashboard!$F$9-SUM($D$3:D118))</f>
        <v/>
      </c>
      <c r="I118" s="16"/>
    </row>
    <row r="119" ht="15.75" customHeight="1">
      <c r="A119" s="36"/>
      <c r="B119" s="31" t="str">
        <f t="shared" si="1"/>
        <v/>
      </c>
      <c r="C119" s="16"/>
      <c r="D119" s="15"/>
      <c r="E119" s="16"/>
      <c r="F119" s="31"/>
      <c r="G119" s="31"/>
      <c r="H119" s="15" t="str">
        <f>IF(A119="","",Dashboard!$F$9-SUM($D$3:D119))</f>
        <v/>
      </c>
      <c r="I119" s="16"/>
    </row>
    <row r="120" ht="15.75" customHeight="1">
      <c r="A120" s="36"/>
      <c r="B120" s="31" t="str">
        <f t="shared" si="1"/>
        <v/>
      </c>
      <c r="C120" s="16"/>
      <c r="D120" s="15"/>
      <c r="E120" s="16"/>
      <c r="F120" s="31"/>
      <c r="G120" s="31"/>
      <c r="H120" s="15" t="str">
        <f>IF(A120="","",Dashboard!$F$9-SUM($D$3:D120))</f>
        <v/>
      </c>
      <c r="I120" s="16"/>
    </row>
    <row r="121" ht="15.75" customHeight="1">
      <c r="A121" s="36"/>
      <c r="B121" s="31" t="str">
        <f t="shared" si="1"/>
        <v/>
      </c>
      <c r="C121" s="16"/>
      <c r="D121" s="15"/>
      <c r="E121" s="16"/>
      <c r="F121" s="31"/>
      <c r="G121" s="31"/>
      <c r="H121" s="15" t="str">
        <f>IF(A121="","",Dashboard!$F$9-SUM($D$3:D121))</f>
        <v/>
      </c>
      <c r="I121" s="16"/>
    </row>
    <row r="122" ht="15.75" customHeight="1">
      <c r="A122" s="36"/>
      <c r="B122" s="31" t="str">
        <f t="shared" si="1"/>
        <v/>
      </c>
      <c r="C122" s="16"/>
      <c r="D122" s="15"/>
      <c r="E122" s="16"/>
      <c r="F122" s="31"/>
      <c r="G122" s="31"/>
      <c r="H122" s="15" t="str">
        <f>IF(A122="","",Dashboard!$F$9-SUM($D$3:D122))</f>
        <v/>
      </c>
      <c r="I122" s="16"/>
    </row>
    <row r="123" ht="15.75" customHeight="1">
      <c r="A123" s="36"/>
      <c r="B123" s="31" t="str">
        <f t="shared" si="1"/>
        <v/>
      </c>
      <c r="C123" s="16"/>
      <c r="D123" s="15"/>
      <c r="E123" s="16"/>
      <c r="F123" s="31"/>
      <c r="G123" s="31"/>
      <c r="H123" s="15" t="str">
        <f>IF(A123="","",Dashboard!$F$9-SUM($D$3:D123))</f>
        <v/>
      </c>
      <c r="I123" s="16"/>
    </row>
    <row r="124" ht="15.75" customHeight="1">
      <c r="A124" s="36"/>
      <c r="B124" s="31" t="str">
        <f t="shared" si="1"/>
        <v/>
      </c>
      <c r="C124" s="16"/>
      <c r="D124" s="15"/>
      <c r="E124" s="16"/>
      <c r="F124" s="31"/>
      <c r="G124" s="31"/>
      <c r="H124" s="15" t="str">
        <f>IF(A124="","",Dashboard!$F$9-SUM($D$3:D124))</f>
        <v/>
      </c>
      <c r="I124" s="16"/>
    </row>
    <row r="125" ht="15.75" customHeight="1">
      <c r="A125" s="36"/>
      <c r="B125" s="31" t="str">
        <f t="shared" si="1"/>
        <v/>
      </c>
      <c r="C125" s="16"/>
      <c r="D125" s="15"/>
      <c r="E125" s="16"/>
      <c r="F125" s="31"/>
      <c r="G125" s="31"/>
      <c r="H125" s="15" t="str">
        <f>IF(A125="","",Dashboard!$F$9-SUM($D$3:D125))</f>
        <v/>
      </c>
      <c r="I125" s="16"/>
    </row>
    <row r="126" ht="15.75" customHeight="1">
      <c r="A126" s="36"/>
      <c r="B126" s="31" t="str">
        <f t="shared" si="1"/>
        <v/>
      </c>
      <c r="C126" s="16"/>
      <c r="D126" s="15"/>
      <c r="E126" s="16"/>
      <c r="F126" s="31"/>
      <c r="G126" s="31"/>
      <c r="H126" s="15" t="str">
        <f>IF(A126="","",Dashboard!$F$9-SUM($D$3:D126))</f>
        <v/>
      </c>
      <c r="I126" s="16"/>
    </row>
    <row r="127" ht="15.75" customHeight="1">
      <c r="A127" s="36"/>
      <c r="B127" s="31" t="str">
        <f t="shared" si="1"/>
        <v/>
      </c>
      <c r="C127" s="16"/>
      <c r="D127" s="15"/>
      <c r="E127" s="16"/>
      <c r="F127" s="31"/>
      <c r="G127" s="31"/>
      <c r="H127" s="15" t="str">
        <f>IF(A127="","",Dashboard!$F$9-SUM($D$3:D127))</f>
        <v/>
      </c>
      <c r="I127" s="16"/>
    </row>
    <row r="128" ht="15.75" customHeight="1">
      <c r="A128" s="36"/>
      <c r="B128" s="31" t="str">
        <f t="shared" si="1"/>
        <v/>
      </c>
      <c r="C128" s="16"/>
      <c r="D128" s="15"/>
      <c r="E128" s="16"/>
      <c r="F128" s="31"/>
      <c r="G128" s="31"/>
      <c r="H128" s="15" t="str">
        <f>IF(A128="","",Dashboard!$F$9-SUM($D$3:D128))</f>
        <v/>
      </c>
      <c r="I128" s="16"/>
    </row>
    <row r="129" ht="15.75" customHeight="1">
      <c r="A129" s="36"/>
      <c r="B129" s="31" t="str">
        <f t="shared" si="1"/>
        <v/>
      </c>
      <c r="C129" s="16"/>
      <c r="D129" s="15"/>
      <c r="E129" s="16"/>
      <c r="F129" s="31"/>
      <c r="G129" s="31"/>
      <c r="H129" s="15" t="str">
        <f>IF(A129="","",Dashboard!$F$9-SUM($D$3:D129))</f>
        <v/>
      </c>
      <c r="I129" s="16"/>
    </row>
    <row r="130" ht="15.75" customHeight="1">
      <c r="A130" s="36"/>
      <c r="B130" s="31" t="str">
        <f t="shared" si="1"/>
        <v/>
      </c>
      <c r="C130" s="16"/>
      <c r="D130" s="15"/>
      <c r="E130" s="16"/>
      <c r="F130" s="31"/>
      <c r="G130" s="31"/>
      <c r="H130" s="15" t="str">
        <f>IF(A130="","",Dashboard!$F$9-SUM($D$3:D130))</f>
        <v/>
      </c>
      <c r="I130" s="16"/>
    </row>
    <row r="131" ht="15.75" customHeight="1">
      <c r="A131" s="36"/>
      <c r="B131" s="31" t="str">
        <f t="shared" si="1"/>
        <v/>
      </c>
      <c r="C131" s="16"/>
      <c r="D131" s="15"/>
      <c r="E131" s="16"/>
      <c r="F131" s="31"/>
      <c r="G131" s="31"/>
      <c r="H131" s="15" t="str">
        <f>IF(A131="","",Dashboard!$F$9-SUM($D$3:D131))</f>
        <v/>
      </c>
      <c r="I131" s="16"/>
    </row>
    <row r="132" ht="15.75" customHeight="1">
      <c r="A132" s="36"/>
      <c r="B132" s="31" t="str">
        <f t="shared" si="1"/>
        <v/>
      </c>
      <c r="C132" s="16"/>
      <c r="D132" s="15"/>
      <c r="E132" s="16"/>
      <c r="F132" s="31"/>
      <c r="G132" s="31"/>
      <c r="H132" s="15" t="str">
        <f>IF(A132="","",Dashboard!$F$9-SUM($D$3:D132))</f>
        <v/>
      </c>
      <c r="I132" s="16"/>
    </row>
    <row r="133" ht="15.75" customHeight="1">
      <c r="A133" s="36"/>
      <c r="B133" s="31" t="str">
        <f t="shared" si="1"/>
        <v/>
      </c>
      <c r="C133" s="16"/>
      <c r="D133" s="15"/>
      <c r="E133" s="16"/>
      <c r="F133" s="31"/>
      <c r="G133" s="31"/>
      <c r="H133" s="15" t="str">
        <f>IF(A133="","",Dashboard!$F$9-SUM($D$3:D133))</f>
        <v/>
      </c>
      <c r="I133" s="16"/>
    </row>
    <row r="134" ht="15.75" customHeight="1">
      <c r="A134" s="36"/>
      <c r="B134" s="31" t="str">
        <f t="shared" si="1"/>
        <v/>
      </c>
      <c r="C134" s="16"/>
      <c r="D134" s="15"/>
      <c r="E134" s="16"/>
      <c r="F134" s="31"/>
      <c r="G134" s="31"/>
      <c r="H134" s="15" t="str">
        <f>IF(A134="","",Dashboard!$F$9-SUM($D$3:D134))</f>
        <v/>
      </c>
      <c r="I134" s="16"/>
    </row>
    <row r="135" ht="15.75" customHeight="1">
      <c r="A135" s="36"/>
      <c r="B135" s="31" t="str">
        <f t="shared" si="1"/>
        <v/>
      </c>
      <c r="C135" s="16"/>
      <c r="D135" s="15"/>
      <c r="E135" s="16"/>
      <c r="F135" s="31"/>
      <c r="G135" s="31"/>
      <c r="H135" s="15" t="str">
        <f>IF(A135="","",Dashboard!$F$9-SUM($D$3:D135))</f>
        <v/>
      </c>
      <c r="I135" s="16"/>
    </row>
    <row r="136" ht="15.75" customHeight="1">
      <c r="A136" s="36"/>
      <c r="B136" s="31" t="str">
        <f t="shared" si="1"/>
        <v/>
      </c>
      <c r="C136" s="16"/>
      <c r="D136" s="15"/>
      <c r="E136" s="16"/>
      <c r="F136" s="31"/>
      <c r="G136" s="31"/>
      <c r="H136" s="15" t="str">
        <f>IF(A136="","",Dashboard!$F$9-SUM($D$3:D136))</f>
        <v/>
      </c>
      <c r="I136" s="16"/>
    </row>
    <row r="137" ht="15.75" customHeight="1">
      <c r="A137" s="36"/>
      <c r="B137" s="31" t="str">
        <f t="shared" si="1"/>
        <v/>
      </c>
      <c r="C137" s="16"/>
      <c r="D137" s="15"/>
      <c r="E137" s="16"/>
      <c r="F137" s="31"/>
      <c r="G137" s="31"/>
      <c r="H137" s="15" t="str">
        <f>IF(A137="","",Dashboard!$F$9-SUM($D$3:D137))</f>
        <v/>
      </c>
      <c r="I137" s="16"/>
    </row>
    <row r="138" ht="15.75" customHeight="1">
      <c r="A138" s="36"/>
      <c r="B138" s="31" t="str">
        <f t="shared" si="1"/>
        <v/>
      </c>
      <c r="C138" s="16"/>
      <c r="D138" s="15"/>
      <c r="E138" s="16"/>
      <c r="F138" s="31"/>
      <c r="G138" s="31"/>
      <c r="H138" s="15" t="str">
        <f>IF(A138="","",Dashboard!$F$9-SUM($D$3:D138))</f>
        <v/>
      </c>
      <c r="I138" s="16"/>
    </row>
    <row r="139" ht="15.75" customHeight="1">
      <c r="A139" s="36"/>
      <c r="B139" s="31" t="str">
        <f t="shared" si="1"/>
        <v/>
      </c>
      <c r="C139" s="16"/>
      <c r="D139" s="15"/>
      <c r="E139" s="16"/>
      <c r="F139" s="31"/>
      <c r="G139" s="31"/>
      <c r="H139" s="15" t="str">
        <f>IF(A139="","",Dashboard!$F$9-SUM($D$3:D139))</f>
        <v/>
      </c>
      <c r="I139" s="16"/>
    </row>
    <row r="140" ht="15.75" customHeight="1">
      <c r="A140" s="36"/>
      <c r="B140" s="31" t="str">
        <f t="shared" si="1"/>
        <v/>
      </c>
      <c r="C140" s="16"/>
      <c r="D140" s="15"/>
      <c r="E140" s="16"/>
      <c r="F140" s="31"/>
      <c r="G140" s="31"/>
      <c r="H140" s="15" t="str">
        <f>IF(A140="","",Dashboard!$F$9-SUM($D$3:D140))</f>
        <v/>
      </c>
      <c r="I140" s="16"/>
    </row>
    <row r="141" ht="15.75" customHeight="1">
      <c r="A141" s="36"/>
      <c r="B141" s="31" t="str">
        <f t="shared" si="1"/>
        <v/>
      </c>
      <c r="C141" s="16"/>
      <c r="D141" s="15"/>
      <c r="E141" s="16"/>
      <c r="F141" s="31"/>
      <c r="G141" s="31"/>
      <c r="H141" s="15" t="str">
        <f>IF(A141="","",Dashboard!$F$9-SUM($D$3:D141))</f>
        <v/>
      </c>
      <c r="I141" s="16"/>
    </row>
    <row r="142" ht="15.75" customHeight="1">
      <c r="A142" s="36"/>
      <c r="B142" s="31" t="str">
        <f t="shared" si="1"/>
        <v/>
      </c>
      <c r="C142" s="16"/>
      <c r="D142" s="15"/>
      <c r="E142" s="16"/>
      <c r="F142" s="31"/>
      <c r="G142" s="31"/>
      <c r="H142" s="15" t="str">
        <f>IF(A142="","",Dashboard!$F$9-SUM($D$3:D142))</f>
        <v/>
      </c>
      <c r="I142" s="16"/>
    </row>
    <row r="143" ht="15.75" customHeight="1">
      <c r="A143" s="36"/>
      <c r="B143" s="31" t="str">
        <f t="shared" si="1"/>
        <v/>
      </c>
      <c r="C143" s="16"/>
      <c r="D143" s="15"/>
      <c r="E143" s="16"/>
      <c r="F143" s="31"/>
      <c r="G143" s="31"/>
      <c r="H143" s="15" t="str">
        <f>IF(A143="","",Dashboard!$F$9-SUM($D$3:D143))</f>
        <v/>
      </c>
      <c r="I143" s="16"/>
    </row>
    <row r="144" ht="15.75" customHeight="1">
      <c r="A144" s="36"/>
      <c r="B144" s="31" t="str">
        <f t="shared" si="1"/>
        <v/>
      </c>
      <c r="C144" s="16"/>
      <c r="D144" s="15"/>
      <c r="E144" s="16"/>
      <c r="F144" s="31"/>
      <c r="G144" s="31"/>
      <c r="H144" s="15" t="str">
        <f>IF(A144="","",Dashboard!$F$9-SUM($D$3:D144))</f>
        <v/>
      </c>
      <c r="I144" s="16"/>
    </row>
    <row r="145" ht="15.75" customHeight="1">
      <c r="A145" s="36"/>
      <c r="B145" s="31" t="str">
        <f t="shared" si="1"/>
        <v/>
      </c>
      <c r="C145" s="16"/>
      <c r="D145" s="15"/>
      <c r="E145" s="16"/>
      <c r="F145" s="31"/>
      <c r="G145" s="31"/>
      <c r="H145" s="15" t="str">
        <f>IF(A145="","",Dashboard!$F$9-SUM($D$3:D145))</f>
        <v/>
      </c>
      <c r="I145" s="16"/>
    </row>
    <row r="146" ht="15.75" customHeight="1">
      <c r="A146" s="36"/>
      <c r="B146" s="31" t="str">
        <f t="shared" si="1"/>
        <v/>
      </c>
      <c r="C146" s="16"/>
      <c r="D146" s="15"/>
      <c r="E146" s="16"/>
      <c r="F146" s="31"/>
      <c r="G146" s="31"/>
      <c r="H146" s="15" t="str">
        <f>IF(A146="","",Dashboard!$F$9-SUM($D$3:D146))</f>
        <v/>
      </c>
      <c r="I146" s="16"/>
    </row>
    <row r="147" ht="15.75" customHeight="1">
      <c r="A147" s="36"/>
      <c r="B147" s="31" t="str">
        <f t="shared" si="1"/>
        <v/>
      </c>
      <c r="C147" s="16"/>
      <c r="D147" s="15"/>
      <c r="E147" s="16"/>
      <c r="F147" s="31"/>
      <c r="G147" s="31"/>
      <c r="H147" s="15" t="str">
        <f>IF(A147="","",Dashboard!$F$9-SUM($D$3:D147))</f>
        <v/>
      </c>
      <c r="I147" s="16"/>
    </row>
    <row r="148" ht="15.75" customHeight="1">
      <c r="A148" s="36"/>
      <c r="B148" s="31" t="str">
        <f t="shared" si="1"/>
        <v/>
      </c>
      <c r="C148" s="16"/>
      <c r="D148" s="15"/>
      <c r="E148" s="16"/>
      <c r="F148" s="31"/>
      <c r="G148" s="31"/>
      <c r="H148" s="15" t="str">
        <f>IF(A148="","",Dashboard!$F$9-SUM($D$3:D148))</f>
        <v/>
      </c>
      <c r="I148" s="16"/>
    </row>
    <row r="149" ht="15.75" customHeight="1">
      <c r="A149" s="36"/>
      <c r="B149" s="31" t="str">
        <f t="shared" si="1"/>
        <v/>
      </c>
      <c r="C149" s="16"/>
      <c r="D149" s="15"/>
      <c r="E149" s="16"/>
      <c r="F149" s="31"/>
      <c r="G149" s="31"/>
      <c r="H149" s="15" t="str">
        <f>IF(A149="","",Dashboard!$F$9-SUM($D$3:D149))</f>
        <v/>
      </c>
      <c r="I149" s="16"/>
    </row>
    <row r="150" ht="15.75" customHeight="1">
      <c r="A150" s="36"/>
      <c r="B150" s="31" t="str">
        <f t="shared" si="1"/>
        <v/>
      </c>
      <c r="C150" s="16"/>
      <c r="D150" s="15"/>
      <c r="E150" s="16"/>
      <c r="F150" s="31"/>
      <c r="G150" s="31"/>
      <c r="H150" s="15" t="str">
        <f>IF(A150="","",Dashboard!$F$9-SUM($D$3:D150))</f>
        <v/>
      </c>
      <c r="I150" s="16"/>
    </row>
    <row r="151" ht="15.75" customHeight="1">
      <c r="A151" s="36"/>
      <c r="B151" s="31" t="str">
        <f t="shared" si="1"/>
        <v/>
      </c>
      <c r="C151" s="16"/>
      <c r="D151" s="15"/>
      <c r="E151" s="16"/>
      <c r="F151" s="31"/>
      <c r="G151" s="31"/>
      <c r="H151" s="15" t="str">
        <f>IF(A151="","",Dashboard!$F$9-SUM($D$3:D151))</f>
        <v/>
      </c>
      <c r="I151" s="16"/>
    </row>
    <row r="152" ht="15.75" customHeight="1">
      <c r="A152" s="36"/>
      <c r="B152" s="31" t="str">
        <f t="shared" si="1"/>
        <v/>
      </c>
      <c r="C152" s="16"/>
      <c r="D152" s="15"/>
      <c r="E152" s="16"/>
      <c r="F152" s="31"/>
      <c r="G152" s="31"/>
      <c r="H152" s="15" t="str">
        <f>IF(A152="","",Dashboard!$F$9-SUM($D$3:D152))</f>
        <v/>
      </c>
      <c r="I152" s="16"/>
    </row>
    <row r="153" ht="15.75" customHeight="1">
      <c r="A153" s="36"/>
      <c r="B153" s="31" t="str">
        <f t="shared" si="1"/>
        <v/>
      </c>
      <c r="C153" s="16"/>
      <c r="D153" s="15"/>
      <c r="E153" s="16"/>
      <c r="F153" s="31"/>
      <c r="G153" s="31"/>
      <c r="H153" s="15" t="str">
        <f>IF(A153="","",Dashboard!$F$9-SUM($D$3:D153))</f>
        <v/>
      </c>
      <c r="I153" s="16"/>
    </row>
    <row r="154" ht="15.75" customHeight="1">
      <c r="A154" s="36"/>
      <c r="B154" s="31" t="str">
        <f t="shared" si="1"/>
        <v/>
      </c>
      <c r="C154" s="16"/>
      <c r="D154" s="15"/>
      <c r="E154" s="16"/>
      <c r="F154" s="31"/>
      <c r="G154" s="31"/>
      <c r="H154" s="15" t="str">
        <f>IF(A154="","",Dashboard!$F$9-SUM($D$3:D154))</f>
        <v/>
      </c>
      <c r="I154" s="16"/>
    </row>
    <row r="155" ht="15.75" customHeight="1">
      <c r="A155" s="36"/>
      <c r="B155" s="31" t="str">
        <f t="shared" si="1"/>
        <v/>
      </c>
      <c r="C155" s="16"/>
      <c r="D155" s="15"/>
      <c r="E155" s="16"/>
      <c r="F155" s="31"/>
      <c r="G155" s="31"/>
      <c r="H155" s="15" t="str">
        <f>IF(A155="","",Dashboard!$F$9-SUM($D$3:D155))</f>
        <v/>
      </c>
      <c r="I155" s="16"/>
    </row>
    <row r="156" ht="15.75" customHeight="1">
      <c r="A156" s="36"/>
      <c r="B156" s="31" t="str">
        <f t="shared" si="1"/>
        <v/>
      </c>
      <c r="C156" s="16"/>
      <c r="D156" s="15"/>
      <c r="E156" s="16"/>
      <c r="F156" s="31"/>
      <c r="G156" s="31"/>
      <c r="H156" s="15" t="str">
        <f>IF(A156="","",Dashboard!$F$9-SUM($D$3:D156))</f>
        <v/>
      </c>
      <c r="I156" s="16"/>
    </row>
    <row r="157" ht="15.75" customHeight="1">
      <c r="A157" s="36"/>
      <c r="B157" s="31" t="str">
        <f t="shared" si="1"/>
        <v/>
      </c>
      <c r="C157" s="16"/>
      <c r="D157" s="15"/>
      <c r="E157" s="16"/>
      <c r="F157" s="31"/>
      <c r="G157" s="31"/>
      <c r="H157" s="15" t="str">
        <f>IF(A157="","",Dashboard!$F$9-SUM($D$3:D157))</f>
        <v/>
      </c>
      <c r="I157" s="16"/>
    </row>
    <row r="158" ht="15.75" customHeight="1">
      <c r="A158" s="36"/>
      <c r="B158" s="31" t="str">
        <f t="shared" si="1"/>
        <v/>
      </c>
      <c r="C158" s="16"/>
      <c r="D158" s="15"/>
      <c r="E158" s="16"/>
      <c r="F158" s="31"/>
      <c r="G158" s="31"/>
      <c r="H158" s="15" t="str">
        <f>IF(A158="","",Dashboard!$F$9-SUM($D$3:D158))</f>
        <v/>
      </c>
      <c r="I158" s="16"/>
    </row>
    <row r="159" ht="15.75" customHeight="1">
      <c r="A159" s="36"/>
      <c r="B159" s="31" t="str">
        <f t="shared" si="1"/>
        <v/>
      </c>
      <c r="C159" s="16"/>
      <c r="D159" s="15"/>
      <c r="E159" s="16"/>
      <c r="F159" s="31"/>
      <c r="G159" s="31"/>
      <c r="H159" s="15" t="str">
        <f>IF(A159="","",Dashboard!$F$9-SUM($D$3:D159))</f>
        <v/>
      </c>
      <c r="I159" s="16"/>
    </row>
    <row r="160" ht="15.75" customHeight="1">
      <c r="A160" s="36"/>
      <c r="B160" s="31" t="str">
        <f t="shared" si="1"/>
        <v/>
      </c>
      <c r="C160" s="16"/>
      <c r="D160" s="15"/>
      <c r="E160" s="16"/>
      <c r="F160" s="31"/>
      <c r="G160" s="31"/>
      <c r="H160" s="15" t="str">
        <f>IF(A160="","",Dashboard!$F$9-SUM($D$3:D160))</f>
        <v/>
      </c>
      <c r="I160" s="16"/>
    </row>
    <row r="161" ht="15.75" customHeight="1">
      <c r="A161" s="36"/>
      <c r="B161" s="31" t="str">
        <f t="shared" si="1"/>
        <v/>
      </c>
      <c r="C161" s="16"/>
      <c r="D161" s="15"/>
      <c r="E161" s="16"/>
      <c r="F161" s="31"/>
      <c r="G161" s="31"/>
      <c r="H161" s="15" t="str">
        <f>IF(A161="","",Dashboard!$F$9-SUM($D$3:D161))</f>
        <v/>
      </c>
      <c r="I161" s="16"/>
    </row>
    <row r="162" ht="15.75" customHeight="1">
      <c r="A162" s="36"/>
      <c r="B162" s="31" t="str">
        <f t="shared" si="1"/>
        <v/>
      </c>
      <c r="C162" s="16"/>
      <c r="D162" s="15"/>
      <c r="E162" s="16"/>
      <c r="F162" s="31"/>
      <c r="G162" s="31"/>
      <c r="H162" s="15" t="str">
        <f>IF(A162="","",Dashboard!$F$9-SUM($D$3:D162))</f>
        <v/>
      </c>
      <c r="I162" s="16"/>
    </row>
    <row r="163" ht="15.75" customHeight="1">
      <c r="A163" s="36"/>
      <c r="B163" s="31" t="str">
        <f t="shared" si="1"/>
        <v/>
      </c>
      <c r="C163" s="16"/>
      <c r="D163" s="15"/>
      <c r="E163" s="16"/>
      <c r="F163" s="31"/>
      <c r="G163" s="31"/>
      <c r="H163" s="15" t="str">
        <f>IF(A163="","",Dashboard!$F$9-SUM($D$3:D163))</f>
        <v/>
      </c>
      <c r="I163" s="16"/>
    </row>
    <row r="164" ht="15.75" customHeight="1">
      <c r="A164" s="36"/>
      <c r="B164" s="31" t="str">
        <f t="shared" si="1"/>
        <v/>
      </c>
      <c r="C164" s="16"/>
      <c r="D164" s="15"/>
      <c r="E164" s="16"/>
      <c r="F164" s="31"/>
      <c r="G164" s="31"/>
      <c r="H164" s="15" t="str">
        <f>IF(A164="","",Dashboard!$F$9-SUM($D$3:D164))</f>
        <v/>
      </c>
      <c r="I164" s="16"/>
    </row>
    <row r="165" ht="15.75" customHeight="1">
      <c r="A165" s="36"/>
      <c r="B165" s="31" t="str">
        <f t="shared" si="1"/>
        <v/>
      </c>
      <c r="C165" s="16"/>
      <c r="D165" s="15"/>
      <c r="E165" s="16"/>
      <c r="F165" s="31"/>
      <c r="G165" s="31"/>
      <c r="H165" s="15" t="str">
        <f>IF(A165="","",Dashboard!$F$9-SUM($D$3:D165))</f>
        <v/>
      </c>
      <c r="I165" s="16"/>
    </row>
    <row r="166" ht="15.75" customHeight="1">
      <c r="A166" s="36"/>
      <c r="B166" s="31" t="str">
        <f t="shared" si="1"/>
        <v/>
      </c>
      <c r="C166" s="16"/>
      <c r="D166" s="15"/>
      <c r="E166" s="16"/>
      <c r="F166" s="31"/>
      <c r="G166" s="31"/>
      <c r="H166" s="15" t="str">
        <f>IF(A166="","",Dashboard!$F$9-SUM($D$3:D166))</f>
        <v/>
      </c>
      <c r="I166" s="16"/>
    </row>
    <row r="167" ht="15.75" customHeight="1">
      <c r="A167" s="36"/>
      <c r="B167" s="31" t="str">
        <f t="shared" si="1"/>
        <v/>
      </c>
      <c r="C167" s="16"/>
      <c r="D167" s="15"/>
      <c r="E167" s="16"/>
      <c r="F167" s="31"/>
      <c r="G167" s="31"/>
      <c r="H167" s="15" t="str">
        <f>IF(A167="","",Dashboard!$F$9-SUM($D$3:D167))</f>
        <v/>
      </c>
      <c r="I167" s="16"/>
    </row>
    <row r="168" ht="15.75" customHeight="1">
      <c r="A168" s="36"/>
      <c r="B168" s="31" t="str">
        <f t="shared" si="1"/>
        <v/>
      </c>
      <c r="C168" s="16"/>
      <c r="D168" s="15"/>
      <c r="E168" s="16"/>
      <c r="F168" s="31"/>
      <c r="G168" s="31"/>
      <c r="H168" s="15" t="str">
        <f>IF(A168="","",Dashboard!$F$9-SUM($D$3:D168))</f>
        <v/>
      </c>
      <c r="I168" s="16"/>
    </row>
    <row r="169" ht="15.75" customHeight="1">
      <c r="A169" s="36"/>
      <c r="B169" s="31" t="str">
        <f t="shared" si="1"/>
        <v/>
      </c>
      <c r="C169" s="16"/>
      <c r="D169" s="15"/>
      <c r="E169" s="16"/>
      <c r="F169" s="31"/>
      <c r="G169" s="31"/>
      <c r="H169" s="15" t="str">
        <f>IF(A169="","",Dashboard!$F$9-SUM($D$3:D169))</f>
        <v/>
      </c>
      <c r="I169" s="16"/>
    </row>
    <row r="170" ht="15.75" customHeight="1">
      <c r="A170" s="36"/>
      <c r="B170" s="31" t="str">
        <f t="shared" si="1"/>
        <v/>
      </c>
      <c r="C170" s="16"/>
      <c r="D170" s="15"/>
      <c r="E170" s="16"/>
      <c r="F170" s="31"/>
      <c r="G170" s="31"/>
      <c r="H170" s="15" t="str">
        <f>IF(A170="","",Dashboard!$F$9-SUM($D$3:D170))</f>
        <v/>
      </c>
      <c r="I170" s="16"/>
    </row>
    <row r="171" ht="15.75" customHeight="1">
      <c r="A171" s="36"/>
      <c r="B171" s="31" t="str">
        <f t="shared" si="1"/>
        <v/>
      </c>
      <c r="C171" s="16"/>
      <c r="D171" s="15"/>
      <c r="E171" s="16"/>
      <c r="F171" s="31"/>
      <c r="G171" s="31"/>
      <c r="H171" s="15" t="str">
        <f>IF(A171="","",Dashboard!$F$9-SUM($D$3:D171))</f>
        <v/>
      </c>
      <c r="I171" s="16"/>
    </row>
    <row r="172" ht="15.75" customHeight="1">
      <c r="A172" s="36"/>
      <c r="B172" s="31" t="str">
        <f t="shared" si="1"/>
        <v/>
      </c>
      <c r="C172" s="16"/>
      <c r="D172" s="15"/>
      <c r="E172" s="16"/>
      <c r="F172" s="31"/>
      <c r="G172" s="31"/>
      <c r="H172" s="15" t="str">
        <f>IF(A172="","",Dashboard!$F$9-SUM($D$3:D172))</f>
        <v/>
      </c>
      <c r="I172" s="16"/>
    </row>
    <row r="173" ht="15.75" customHeight="1">
      <c r="A173" s="36"/>
      <c r="B173" s="31" t="str">
        <f t="shared" si="1"/>
        <v/>
      </c>
      <c r="C173" s="16"/>
      <c r="D173" s="15"/>
      <c r="E173" s="16"/>
      <c r="F173" s="31"/>
      <c r="G173" s="31"/>
      <c r="H173" s="15" t="str">
        <f>IF(A173="","",Dashboard!$F$9-SUM($D$3:D173))</f>
        <v/>
      </c>
      <c r="I173" s="16"/>
    </row>
    <row r="174" ht="15.75" customHeight="1">
      <c r="A174" s="36"/>
      <c r="B174" s="31" t="str">
        <f t="shared" si="1"/>
        <v/>
      </c>
      <c r="C174" s="16"/>
      <c r="D174" s="15"/>
      <c r="E174" s="16"/>
      <c r="F174" s="31"/>
      <c r="G174" s="31"/>
      <c r="H174" s="15" t="str">
        <f>IF(A174="","",Dashboard!$F$9-SUM($D$3:D174))</f>
        <v/>
      </c>
      <c r="I174" s="16"/>
    </row>
    <row r="175" ht="15.75" customHeight="1">
      <c r="A175" s="36"/>
      <c r="B175" s="31" t="str">
        <f t="shared" si="1"/>
        <v/>
      </c>
      <c r="C175" s="16"/>
      <c r="D175" s="15"/>
      <c r="E175" s="16"/>
      <c r="F175" s="31"/>
      <c r="G175" s="31"/>
      <c r="H175" s="15" t="str">
        <f>IF(A175="","",Dashboard!$F$9-SUM($D$3:D175))</f>
        <v/>
      </c>
      <c r="I175" s="16"/>
    </row>
    <row r="176" ht="15.75" customHeight="1">
      <c r="A176" s="36"/>
      <c r="B176" s="31" t="str">
        <f t="shared" si="1"/>
        <v/>
      </c>
      <c r="C176" s="16"/>
      <c r="D176" s="15"/>
      <c r="E176" s="16"/>
      <c r="F176" s="31"/>
      <c r="G176" s="31"/>
      <c r="H176" s="15" t="str">
        <f>IF(A176="","",Dashboard!$F$9-SUM($D$3:D176))</f>
        <v/>
      </c>
      <c r="I176" s="16"/>
    </row>
    <row r="177" ht="15.75" customHeight="1">
      <c r="A177" s="36"/>
      <c r="B177" s="31" t="str">
        <f t="shared" si="1"/>
        <v/>
      </c>
      <c r="C177" s="16"/>
      <c r="D177" s="15"/>
      <c r="E177" s="16"/>
      <c r="F177" s="31"/>
      <c r="G177" s="31"/>
      <c r="H177" s="15" t="str">
        <f>IF(A177="","",Dashboard!$F$9-SUM($D$3:D177))</f>
        <v/>
      </c>
      <c r="I177" s="16"/>
    </row>
    <row r="178" ht="15.75" customHeight="1">
      <c r="A178" s="36"/>
      <c r="B178" s="31" t="str">
        <f t="shared" si="1"/>
        <v/>
      </c>
      <c r="C178" s="16"/>
      <c r="D178" s="15"/>
      <c r="E178" s="16"/>
      <c r="F178" s="31"/>
      <c r="G178" s="31"/>
      <c r="H178" s="15" t="str">
        <f>IF(A178="","",Dashboard!$F$9-SUM($D$3:D178))</f>
        <v/>
      </c>
      <c r="I178" s="16"/>
    </row>
    <row r="179" ht="15.75" customHeight="1">
      <c r="A179" s="36"/>
      <c r="B179" s="31" t="str">
        <f t="shared" si="1"/>
        <v/>
      </c>
      <c r="C179" s="16"/>
      <c r="D179" s="15"/>
      <c r="E179" s="16"/>
      <c r="F179" s="31"/>
      <c r="G179" s="31"/>
      <c r="H179" s="15" t="str">
        <f>IF(A179="","",Dashboard!$F$9-SUM($D$3:D179))</f>
        <v/>
      </c>
      <c r="I179" s="16"/>
    </row>
    <row r="180" ht="15.75" customHeight="1">
      <c r="A180" s="36"/>
      <c r="B180" s="31" t="str">
        <f t="shared" si="1"/>
        <v/>
      </c>
      <c r="C180" s="16"/>
      <c r="D180" s="15"/>
      <c r="E180" s="16"/>
      <c r="F180" s="31"/>
      <c r="G180" s="31"/>
      <c r="H180" s="15" t="str">
        <f>IF(A180="","",Dashboard!$F$9-SUM($D$3:D180))</f>
        <v/>
      </c>
      <c r="I180" s="16"/>
    </row>
    <row r="181" ht="15.75" customHeight="1">
      <c r="A181" s="36"/>
      <c r="B181" s="31" t="str">
        <f t="shared" si="1"/>
        <v/>
      </c>
      <c r="C181" s="16"/>
      <c r="D181" s="15"/>
      <c r="E181" s="16"/>
      <c r="F181" s="31"/>
      <c r="G181" s="31"/>
      <c r="H181" s="15" t="str">
        <f>IF(A181="","",Dashboard!$F$9-SUM($D$3:D181))</f>
        <v/>
      </c>
      <c r="I181" s="16"/>
    </row>
    <row r="182" ht="15.75" customHeight="1">
      <c r="A182" s="36"/>
      <c r="B182" s="31" t="str">
        <f t="shared" si="1"/>
        <v/>
      </c>
      <c r="C182" s="16"/>
      <c r="D182" s="15"/>
      <c r="E182" s="16"/>
      <c r="F182" s="31"/>
      <c r="G182" s="31"/>
      <c r="H182" s="15" t="str">
        <f>IF(A182="","",Dashboard!$F$9-SUM($D$3:D182))</f>
        <v/>
      </c>
      <c r="I182" s="16"/>
    </row>
    <row r="183" ht="15.75" customHeight="1">
      <c r="A183" s="36"/>
      <c r="B183" s="31" t="str">
        <f t="shared" si="1"/>
        <v/>
      </c>
      <c r="C183" s="16"/>
      <c r="D183" s="15"/>
      <c r="E183" s="16"/>
      <c r="F183" s="31"/>
      <c r="G183" s="31"/>
      <c r="H183" s="15" t="str">
        <f>IF(A183="","",Dashboard!$F$9-SUM($D$3:D183))</f>
        <v/>
      </c>
      <c r="I183" s="16"/>
    </row>
    <row r="184" ht="15.75" customHeight="1">
      <c r="A184" s="36"/>
      <c r="B184" s="31" t="str">
        <f t="shared" si="1"/>
        <v/>
      </c>
      <c r="C184" s="16"/>
      <c r="D184" s="15"/>
      <c r="E184" s="16"/>
      <c r="F184" s="31"/>
      <c r="G184" s="31"/>
      <c r="H184" s="15" t="str">
        <f>IF(A184="","",Dashboard!$F$9-SUM($D$3:D184))</f>
        <v/>
      </c>
      <c r="I184" s="16"/>
    </row>
    <row r="185" ht="15.75" customHeight="1">
      <c r="A185" s="36"/>
      <c r="B185" s="31" t="str">
        <f t="shared" si="1"/>
        <v/>
      </c>
      <c r="C185" s="16"/>
      <c r="D185" s="15"/>
      <c r="E185" s="16"/>
      <c r="F185" s="31"/>
      <c r="G185" s="31"/>
      <c r="H185" s="15" t="str">
        <f>IF(A185="","",Dashboard!$F$9-SUM($D$3:D185))</f>
        <v/>
      </c>
      <c r="I185" s="16"/>
    </row>
    <row r="186" ht="15.75" customHeight="1">
      <c r="A186" s="36"/>
      <c r="B186" s="31" t="str">
        <f t="shared" si="1"/>
        <v/>
      </c>
      <c r="C186" s="16"/>
      <c r="D186" s="15"/>
      <c r="E186" s="16"/>
      <c r="F186" s="31"/>
      <c r="G186" s="31"/>
      <c r="H186" s="15" t="str">
        <f>IF(A186="","",Dashboard!$F$9-SUM($D$3:D186))</f>
        <v/>
      </c>
      <c r="I186" s="16"/>
    </row>
    <row r="187" ht="15.75" customHeight="1">
      <c r="A187" s="36"/>
      <c r="B187" s="31" t="str">
        <f t="shared" si="1"/>
        <v/>
      </c>
      <c r="C187" s="16"/>
      <c r="D187" s="15"/>
      <c r="E187" s="16"/>
      <c r="F187" s="31"/>
      <c r="G187" s="31"/>
      <c r="H187" s="15" t="str">
        <f>IF(A187="","",Dashboard!$F$9-SUM($D$3:D187))</f>
        <v/>
      </c>
      <c r="I187" s="16"/>
    </row>
    <row r="188" ht="15.75" customHeight="1">
      <c r="A188" s="36"/>
      <c r="B188" s="31" t="str">
        <f t="shared" si="1"/>
        <v/>
      </c>
      <c r="C188" s="16"/>
      <c r="D188" s="15"/>
      <c r="E188" s="16"/>
      <c r="F188" s="31"/>
      <c r="G188" s="31"/>
      <c r="H188" s="15" t="str">
        <f>IF(A188="","",Dashboard!$F$9-SUM($D$3:D188))</f>
        <v/>
      </c>
      <c r="I188" s="16"/>
    </row>
    <row r="189" ht="15.75" customHeight="1">
      <c r="A189" s="36"/>
      <c r="B189" s="31" t="str">
        <f t="shared" si="1"/>
        <v/>
      </c>
      <c r="C189" s="16"/>
      <c r="D189" s="15"/>
      <c r="E189" s="16"/>
      <c r="F189" s="31"/>
      <c r="G189" s="31"/>
      <c r="H189" s="15" t="str">
        <f>IF(A189="","",Dashboard!$F$9-SUM($D$3:D189))</f>
        <v/>
      </c>
      <c r="I189" s="16"/>
    </row>
    <row r="190" ht="15.75" customHeight="1">
      <c r="A190" s="36"/>
      <c r="B190" s="31" t="str">
        <f t="shared" si="1"/>
        <v/>
      </c>
      <c r="C190" s="16"/>
      <c r="D190" s="15"/>
      <c r="E190" s="16"/>
      <c r="F190" s="31"/>
      <c r="G190" s="31"/>
      <c r="H190" s="15" t="str">
        <f>IF(A190="","",Dashboard!$F$9-SUM($D$3:D190))</f>
        <v/>
      </c>
      <c r="I190" s="16"/>
    </row>
    <row r="191" ht="15.75" customHeight="1">
      <c r="A191" s="36"/>
      <c r="B191" s="31" t="str">
        <f t="shared" si="1"/>
        <v/>
      </c>
      <c r="C191" s="16"/>
      <c r="D191" s="15"/>
      <c r="E191" s="16"/>
      <c r="F191" s="31"/>
      <c r="G191" s="31"/>
      <c r="H191" s="15" t="str">
        <f>IF(A191="","",Dashboard!$F$9-SUM($D$3:D191))</f>
        <v/>
      </c>
      <c r="I191" s="16"/>
    </row>
    <row r="192" ht="15.75" customHeight="1">
      <c r="A192" s="36"/>
      <c r="B192" s="31" t="str">
        <f t="shared" si="1"/>
        <v/>
      </c>
      <c r="C192" s="16"/>
      <c r="D192" s="15"/>
      <c r="E192" s="16"/>
      <c r="F192" s="31"/>
      <c r="G192" s="31"/>
      <c r="H192" s="15" t="str">
        <f>IF(A192="","",Dashboard!$F$9-SUM($D$3:D192))</f>
        <v/>
      </c>
      <c r="I192" s="16"/>
    </row>
    <row r="193" ht="15.75" customHeight="1">
      <c r="A193" s="36"/>
      <c r="B193" s="31" t="str">
        <f t="shared" si="1"/>
        <v/>
      </c>
      <c r="C193" s="16"/>
      <c r="D193" s="15"/>
      <c r="E193" s="16"/>
      <c r="F193" s="31"/>
      <c r="G193" s="31"/>
      <c r="H193" s="15" t="str">
        <f>IF(A193="","",Dashboard!$F$9-SUM($D$3:D193))</f>
        <v/>
      </c>
      <c r="I193" s="16"/>
    </row>
    <row r="194" ht="15.75" customHeight="1">
      <c r="A194" s="36"/>
      <c r="B194" s="31" t="str">
        <f t="shared" si="1"/>
        <v/>
      </c>
      <c r="C194" s="16"/>
      <c r="D194" s="15"/>
      <c r="E194" s="16"/>
      <c r="F194" s="31"/>
      <c r="G194" s="31"/>
      <c r="H194" s="15" t="str">
        <f>IF(A194="","",Dashboard!$F$9-SUM($D$3:D194))</f>
        <v/>
      </c>
      <c r="I194" s="16"/>
    </row>
    <row r="195" ht="15.75" customHeight="1">
      <c r="A195" s="36"/>
      <c r="B195" s="31" t="str">
        <f t="shared" si="1"/>
        <v/>
      </c>
      <c r="C195" s="16"/>
      <c r="D195" s="15"/>
      <c r="E195" s="16"/>
      <c r="F195" s="31"/>
      <c r="G195" s="31"/>
      <c r="H195" s="15" t="str">
        <f>IF(A195="","",Dashboard!$F$9-SUM($D$3:D195))</f>
        <v/>
      </c>
      <c r="I195" s="16"/>
    </row>
    <row r="196" ht="15.75" customHeight="1">
      <c r="A196" s="36"/>
      <c r="B196" s="31" t="str">
        <f t="shared" si="1"/>
        <v/>
      </c>
      <c r="C196" s="16"/>
      <c r="D196" s="15"/>
      <c r="E196" s="16"/>
      <c r="F196" s="31"/>
      <c r="G196" s="31"/>
      <c r="H196" s="15" t="str">
        <f>IF(A196="","",Dashboard!$F$9-SUM($D$3:D196))</f>
        <v/>
      </c>
      <c r="I196" s="16"/>
    </row>
    <row r="197" ht="15.75" customHeight="1">
      <c r="A197" s="36"/>
      <c r="B197" s="31" t="str">
        <f t="shared" si="1"/>
        <v/>
      </c>
      <c r="C197" s="16"/>
      <c r="D197" s="15"/>
      <c r="E197" s="16"/>
      <c r="F197" s="31"/>
      <c r="G197" s="31"/>
      <c r="H197" s="15" t="str">
        <f>IF(A197="","",Dashboard!$F$9-SUM($D$3:D197))</f>
        <v/>
      </c>
      <c r="I197" s="16"/>
    </row>
    <row r="198" ht="15.75" customHeight="1">
      <c r="A198" s="36"/>
      <c r="B198" s="31" t="str">
        <f t="shared" si="1"/>
        <v/>
      </c>
      <c r="C198" s="16"/>
      <c r="D198" s="15"/>
      <c r="E198" s="16"/>
      <c r="F198" s="31"/>
      <c r="G198" s="31"/>
      <c r="H198" s="15" t="str">
        <f>IF(A198="","",Dashboard!$F$9-SUM($D$3:D198))</f>
        <v/>
      </c>
      <c r="I198" s="16"/>
    </row>
    <row r="199" ht="15.75" customHeight="1">
      <c r="A199" s="36"/>
      <c r="B199" s="31" t="str">
        <f t="shared" si="1"/>
        <v/>
      </c>
      <c r="C199" s="16"/>
      <c r="D199" s="15"/>
      <c r="E199" s="16"/>
      <c r="F199" s="31"/>
      <c r="G199" s="31"/>
      <c r="H199" s="15" t="str">
        <f>IF(A199="","",Dashboard!$F$9-SUM($D$3:D199))</f>
        <v/>
      </c>
      <c r="I199" s="16"/>
    </row>
    <row r="200" ht="15.75" customHeight="1">
      <c r="A200" s="36"/>
      <c r="B200" s="31" t="str">
        <f t="shared" si="1"/>
        <v/>
      </c>
      <c r="C200" s="16"/>
      <c r="D200" s="15"/>
      <c r="E200" s="16"/>
      <c r="F200" s="31"/>
      <c r="G200" s="31"/>
      <c r="H200" s="15" t="str">
        <f>IF(A200="","",Dashboard!$F$9-SUM($D$3:D200))</f>
        <v/>
      </c>
      <c r="I200" s="16"/>
    </row>
    <row r="201" ht="15.75" customHeight="1">
      <c r="A201" s="36"/>
      <c r="B201" s="31" t="str">
        <f t="shared" si="1"/>
        <v/>
      </c>
      <c r="C201" s="16"/>
      <c r="D201" s="15"/>
      <c r="E201" s="16"/>
      <c r="F201" s="31"/>
      <c r="G201" s="31"/>
      <c r="H201" s="15" t="str">
        <f>IF(A201="","",Dashboard!$F$9-SUM($D$3:D201))</f>
        <v/>
      </c>
      <c r="I201" s="16"/>
    </row>
    <row r="202" ht="15.75" customHeight="1">
      <c r="A202" s="36"/>
      <c r="B202" s="31" t="str">
        <f t="shared" si="1"/>
        <v/>
      </c>
      <c r="C202" s="16"/>
      <c r="D202" s="15"/>
      <c r="E202" s="16"/>
      <c r="F202" s="31"/>
      <c r="G202" s="31"/>
      <c r="H202" s="15" t="str">
        <f>IF(A202="","",Dashboard!$F$9-SUM($D$3:D202))</f>
        <v/>
      </c>
      <c r="I202" s="16"/>
    </row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I1"/>
  </mergeCells>
  <dataValidations>
    <dataValidation type="list" allowBlank="1" sqref="F3:F202">
      <formula1>"APA cash,Ship card,Guest card,Bank transfer"</formula1>
    </dataValidation>
    <dataValidation type="list" allowBlank="1" sqref="C3:C202">
      <formula1>"Fuel / Diesel,Food &amp; Provisions,Drinks &amp; Bar,Dockage / Marina,Crew Tips,Miscellaneous"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40.0"/>
    <col customWidth="1" min="4" max="4" width="14.0"/>
    <col customWidth="1" min="5" max="5" width="12.0"/>
    <col customWidth="1" min="6" max="6" width="30.0"/>
    <col customWidth="1" min="7" max="26" width="8.71"/>
  </cols>
  <sheetData>
    <row r="1" ht="24.0" customHeight="1">
      <c r="A1" s="27" t="s">
        <v>47</v>
      </c>
      <c r="B1" s="28"/>
      <c r="C1" s="28"/>
      <c r="D1" s="28"/>
      <c r="E1" s="28"/>
      <c r="F1" s="9"/>
    </row>
    <row r="2">
      <c r="B2" s="37" t="s">
        <v>48</v>
      </c>
      <c r="D2" s="38">
        <f>SUM(D4:D203)</f>
        <v>579.72</v>
      </c>
      <c r="E2" s="26" t="s">
        <v>49</v>
      </c>
    </row>
    <row r="3" ht="25.5" customHeight="1">
      <c r="A3" s="29" t="s">
        <v>36</v>
      </c>
      <c r="B3" s="29" t="s">
        <v>50</v>
      </c>
      <c r="C3" s="29" t="s">
        <v>51</v>
      </c>
      <c r="D3" s="29" t="s">
        <v>38</v>
      </c>
      <c r="E3" s="29" t="s">
        <v>41</v>
      </c>
      <c r="F3" s="29" t="s">
        <v>43</v>
      </c>
    </row>
    <row r="4">
      <c r="A4" s="30">
        <v>46219.0</v>
      </c>
      <c r="B4" s="32" t="s">
        <v>52</v>
      </c>
      <c r="C4" s="32" t="s">
        <v>53</v>
      </c>
      <c r="D4" s="33">
        <v>210.35</v>
      </c>
      <c r="E4" s="31"/>
      <c r="F4" s="35"/>
    </row>
    <row r="5">
      <c r="A5" s="30">
        <v>46220.0</v>
      </c>
      <c r="B5" s="32" t="s">
        <v>54</v>
      </c>
      <c r="C5" s="32" t="s">
        <v>53</v>
      </c>
      <c r="D5" s="33">
        <v>225.28</v>
      </c>
      <c r="E5" s="31"/>
      <c r="F5" s="16"/>
    </row>
    <row r="6">
      <c r="A6" s="30">
        <v>46220.0</v>
      </c>
      <c r="B6" s="32" t="s">
        <v>54</v>
      </c>
      <c r="C6" s="32" t="s">
        <v>53</v>
      </c>
      <c r="D6" s="33">
        <v>13.11</v>
      </c>
      <c r="E6" s="31"/>
      <c r="F6" s="16"/>
    </row>
    <row r="7">
      <c r="A7" s="30">
        <v>46221.0</v>
      </c>
      <c r="B7" s="32" t="s">
        <v>55</v>
      </c>
      <c r="C7" s="32" t="s">
        <v>53</v>
      </c>
      <c r="D7" s="33">
        <v>27.33</v>
      </c>
      <c r="E7" s="31"/>
      <c r="F7" s="16"/>
    </row>
    <row r="8">
      <c r="A8" s="30">
        <v>46221.0</v>
      </c>
      <c r="B8" s="32" t="s">
        <v>56</v>
      </c>
      <c r="C8" s="32" t="s">
        <v>53</v>
      </c>
      <c r="D8" s="33">
        <v>20.55</v>
      </c>
      <c r="E8" s="31"/>
      <c r="F8" s="16"/>
    </row>
    <row r="9">
      <c r="A9" s="30">
        <v>46222.0</v>
      </c>
      <c r="B9" s="32" t="s">
        <v>57</v>
      </c>
      <c r="C9" s="32" t="s">
        <v>53</v>
      </c>
      <c r="D9" s="33">
        <v>83.1</v>
      </c>
      <c r="E9" s="31"/>
      <c r="F9" s="16"/>
    </row>
    <row r="10">
      <c r="A10" s="36"/>
      <c r="B10" s="16"/>
      <c r="C10" s="16"/>
      <c r="D10" s="15"/>
      <c r="E10" s="31"/>
      <c r="F10" s="16"/>
    </row>
    <row r="11">
      <c r="A11" s="36"/>
      <c r="B11" s="16"/>
      <c r="C11" s="16"/>
      <c r="D11" s="15"/>
      <c r="E11" s="31"/>
      <c r="F11" s="16"/>
    </row>
    <row r="12">
      <c r="A12" s="36"/>
      <c r="B12" s="16"/>
      <c r="C12" s="16"/>
      <c r="D12" s="15"/>
      <c r="E12" s="31"/>
      <c r="F12" s="16"/>
    </row>
    <row r="13">
      <c r="A13" s="36"/>
      <c r="B13" s="16"/>
      <c r="C13" s="16"/>
      <c r="D13" s="15"/>
      <c r="E13" s="31"/>
      <c r="F13" s="16"/>
    </row>
    <row r="14">
      <c r="A14" s="36"/>
      <c r="B14" s="16"/>
      <c r="C14" s="16"/>
      <c r="D14" s="15"/>
      <c r="E14" s="31"/>
      <c r="F14" s="16"/>
    </row>
    <row r="15">
      <c r="A15" s="36"/>
      <c r="B15" s="16"/>
      <c r="C15" s="16"/>
      <c r="D15" s="15"/>
      <c r="E15" s="31"/>
      <c r="F15" s="16"/>
    </row>
    <row r="16">
      <c r="A16" s="36"/>
      <c r="B16" s="16"/>
      <c r="C16" s="16"/>
      <c r="D16" s="15"/>
      <c r="E16" s="31"/>
      <c r="F16" s="16"/>
    </row>
    <row r="17">
      <c r="A17" s="36"/>
      <c r="B17" s="16"/>
      <c r="C17" s="16"/>
      <c r="D17" s="15"/>
      <c r="E17" s="31"/>
      <c r="F17" s="16"/>
    </row>
    <row r="18">
      <c r="A18" s="36"/>
      <c r="B18" s="16"/>
      <c r="C18" s="16"/>
      <c r="D18" s="15"/>
      <c r="E18" s="31"/>
      <c r="F18" s="16"/>
    </row>
    <row r="19">
      <c r="A19" s="36"/>
      <c r="B19" s="16"/>
      <c r="C19" s="16"/>
      <c r="D19" s="15"/>
      <c r="E19" s="31"/>
      <c r="F19" s="16"/>
    </row>
    <row r="20">
      <c r="A20" s="36"/>
      <c r="B20" s="16"/>
      <c r="C20" s="16"/>
      <c r="D20" s="15"/>
      <c r="E20" s="31"/>
      <c r="F20" s="16"/>
    </row>
    <row r="21" ht="15.75" customHeight="1">
      <c r="A21" s="36"/>
      <c r="B21" s="16"/>
      <c r="C21" s="16"/>
      <c r="D21" s="15"/>
      <c r="E21" s="31"/>
      <c r="F21" s="16"/>
    </row>
    <row r="22" ht="15.75" customHeight="1">
      <c r="A22" s="36"/>
      <c r="B22" s="16"/>
      <c r="C22" s="16"/>
      <c r="D22" s="15"/>
      <c r="E22" s="31"/>
      <c r="F22" s="16"/>
    </row>
    <row r="23" ht="15.75" customHeight="1">
      <c r="A23" s="36"/>
      <c r="B23" s="16"/>
      <c r="C23" s="16"/>
      <c r="D23" s="15"/>
      <c r="E23" s="31"/>
      <c r="F23" s="16"/>
    </row>
    <row r="24" ht="15.75" customHeight="1">
      <c r="A24" s="36"/>
      <c r="B24" s="16"/>
      <c r="C24" s="16"/>
      <c r="D24" s="15"/>
      <c r="E24" s="31"/>
      <c r="F24" s="16"/>
    </row>
    <row r="25" ht="15.75" customHeight="1">
      <c r="A25" s="36"/>
      <c r="B25" s="16"/>
      <c r="C25" s="16"/>
      <c r="D25" s="15"/>
      <c r="E25" s="31"/>
      <c r="F25" s="16"/>
    </row>
    <row r="26" ht="15.75" customHeight="1">
      <c r="A26" s="36"/>
      <c r="B26" s="16"/>
      <c r="C26" s="16"/>
      <c r="D26" s="15"/>
      <c r="E26" s="31"/>
      <c r="F26" s="16"/>
    </row>
    <row r="27" ht="15.75" customHeight="1">
      <c r="A27" s="36"/>
      <c r="B27" s="16"/>
      <c r="C27" s="16"/>
      <c r="D27" s="15"/>
      <c r="E27" s="31"/>
      <c r="F27" s="16"/>
    </row>
    <row r="28" ht="15.75" customHeight="1">
      <c r="A28" s="36"/>
      <c r="B28" s="16"/>
      <c r="C28" s="16"/>
      <c r="D28" s="15"/>
      <c r="E28" s="31"/>
      <c r="F28" s="16"/>
    </row>
    <row r="29" ht="15.75" customHeight="1">
      <c r="A29" s="36"/>
      <c r="B29" s="16"/>
      <c r="C29" s="16"/>
      <c r="D29" s="15"/>
      <c r="E29" s="31"/>
      <c r="F29" s="16"/>
    </row>
    <row r="30" ht="15.75" customHeight="1">
      <c r="A30" s="36"/>
      <c r="B30" s="16"/>
      <c r="C30" s="16"/>
      <c r="D30" s="15"/>
      <c r="E30" s="31"/>
      <c r="F30" s="16"/>
    </row>
    <row r="31" ht="15.75" customHeight="1">
      <c r="A31" s="36"/>
      <c r="B31" s="16"/>
      <c r="C31" s="16"/>
      <c r="D31" s="15"/>
      <c r="E31" s="31"/>
      <c r="F31" s="16"/>
    </row>
    <row r="32" ht="15.75" customHeight="1">
      <c r="A32" s="36"/>
      <c r="B32" s="16"/>
      <c r="C32" s="16"/>
      <c r="D32" s="15"/>
      <c r="E32" s="31"/>
      <c r="F32" s="16"/>
    </row>
    <row r="33" ht="15.75" customHeight="1">
      <c r="A33" s="36"/>
      <c r="B33" s="16"/>
      <c r="C33" s="16"/>
      <c r="D33" s="15"/>
      <c r="E33" s="31"/>
      <c r="F33" s="16"/>
    </row>
    <row r="34" ht="15.75" customHeight="1">
      <c r="A34" s="36"/>
      <c r="B34" s="16"/>
      <c r="C34" s="16"/>
      <c r="D34" s="15"/>
      <c r="E34" s="31"/>
      <c r="F34" s="16"/>
    </row>
    <row r="35" ht="15.75" customHeight="1">
      <c r="A35" s="36"/>
      <c r="B35" s="16"/>
      <c r="C35" s="16"/>
      <c r="D35" s="15"/>
      <c r="E35" s="31"/>
      <c r="F35" s="16"/>
    </row>
    <row r="36" ht="15.75" customHeight="1">
      <c r="A36" s="36"/>
      <c r="B36" s="16"/>
      <c r="C36" s="16"/>
      <c r="D36" s="15"/>
      <c r="E36" s="31"/>
      <c r="F36" s="16"/>
    </row>
    <row r="37" ht="15.75" customHeight="1">
      <c r="A37" s="36"/>
      <c r="B37" s="16"/>
      <c r="C37" s="16"/>
      <c r="D37" s="15"/>
      <c r="E37" s="31"/>
      <c r="F37" s="16"/>
    </row>
    <row r="38" ht="15.75" customHeight="1">
      <c r="A38" s="36"/>
      <c r="B38" s="16"/>
      <c r="C38" s="16"/>
      <c r="D38" s="15"/>
      <c r="E38" s="31"/>
      <c r="F38" s="16"/>
    </row>
    <row r="39" ht="15.75" customHeight="1">
      <c r="A39" s="36"/>
      <c r="B39" s="16"/>
      <c r="C39" s="16"/>
      <c r="D39" s="15"/>
      <c r="E39" s="31"/>
      <c r="F39" s="16"/>
    </row>
    <row r="40" ht="15.75" customHeight="1">
      <c r="A40" s="36"/>
      <c r="B40" s="16"/>
      <c r="C40" s="16"/>
      <c r="D40" s="15"/>
      <c r="E40" s="31"/>
      <c r="F40" s="16"/>
    </row>
    <row r="41" ht="15.75" customHeight="1">
      <c r="A41" s="36"/>
      <c r="B41" s="16"/>
      <c r="C41" s="16"/>
      <c r="D41" s="15"/>
      <c r="E41" s="31"/>
      <c r="F41" s="16"/>
    </row>
    <row r="42" ht="15.75" customHeight="1">
      <c r="A42" s="36"/>
      <c r="B42" s="16"/>
      <c r="C42" s="16"/>
      <c r="D42" s="15"/>
      <c r="E42" s="31"/>
      <c r="F42" s="16"/>
    </row>
    <row r="43" ht="15.75" customHeight="1">
      <c r="A43" s="36"/>
      <c r="B43" s="16"/>
      <c r="C43" s="16"/>
      <c r="D43" s="15"/>
      <c r="E43" s="31"/>
      <c r="F43" s="16"/>
    </row>
    <row r="44" ht="15.75" customHeight="1">
      <c r="A44" s="36"/>
      <c r="B44" s="16"/>
      <c r="C44" s="16"/>
      <c r="D44" s="15"/>
      <c r="E44" s="31"/>
      <c r="F44" s="16"/>
    </row>
    <row r="45" ht="15.75" customHeight="1">
      <c r="A45" s="36"/>
      <c r="B45" s="16"/>
      <c r="C45" s="16"/>
      <c r="D45" s="15"/>
      <c r="E45" s="31"/>
      <c r="F45" s="16"/>
    </row>
    <row r="46" ht="15.75" customHeight="1">
      <c r="A46" s="36"/>
      <c r="B46" s="16"/>
      <c r="C46" s="16"/>
      <c r="D46" s="15"/>
      <c r="E46" s="31"/>
      <c r="F46" s="16"/>
    </row>
    <row r="47" ht="15.75" customHeight="1">
      <c r="A47" s="36"/>
      <c r="B47" s="16"/>
      <c r="C47" s="16"/>
      <c r="D47" s="15"/>
      <c r="E47" s="31"/>
      <c r="F47" s="16"/>
    </row>
    <row r="48" ht="15.75" customHeight="1">
      <c r="A48" s="36"/>
      <c r="B48" s="16"/>
      <c r="C48" s="16"/>
      <c r="D48" s="15"/>
      <c r="E48" s="31"/>
      <c r="F48" s="16"/>
    </row>
    <row r="49" ht="15.75" customHeight="1">
      <c r="A49" s="36"/>
      <c r="B49" s="16"/>
      <c r="C49" s="16"/>
      <c r="D49" s="15"/>
      <c r="E49" s="31"/>
      <c r="F49" s="16"/>
    </row>
    <row r="50" ht="15.75" customHeight="1">
      <c r="A50" s="36"/>
      <c r="B50" s="16"/>
      <c r="C50" s="16"/>
      <c r="D50" s="15"/>
      <c r="E50" s="31"/>
      <c r="F50" s="16"/>
    </row>
    <row r="51" ht="15.75" customHeight="1">
      <c r="A51" s="36"/>
      <c r="B51" s="16"/>
      <c r="C51" s="16"/>
      <c r="D51" s="15"/>
      <c r="E51" s="31"/>
      <c r="F51" s="16"/>
    </row>
    <row r="52" ht="15.75" customHeight="1">
      <c r="A52" s="36"/>
      <c r="B52" s="16"/>
      <c r="C52" s="16"/>
      <c r="D52" s="15"/>
      <c r="E52" s="31"/>
      <c r="F52" s="16"/>
    </row>
    <row r="53" ht="15.75" customHeight="1">
      <c r="A53" s="36"/>
      <c r="B53" s="16"/>
      <c r="C53" s="16"/>
      <c r="D53" s="15"/>
      <c r="E53" s="31"/>
      <c r="F53" s="16"/>
    </row>
    <row r="54" ht="15.75" customHeight="1">
      <c r="A54" s="36"/>
      <c r="B54" s="16"/>
      <c r="C54" s="16"/>
      <c r="D54" s="15"/>
      <c r="E54" s="31"/>
      <c r="F54" s="16"/>
    </row>
    <row r="55" ht="15.75" customHeight="1">
      <c r="A55" s="36"/>
      <c r="B55" s="16"/>
      <c r="C55" s="16"/>
      <c r="D55" s="15"/>
      <c r="E55" s="31"/>
      <c r="F55" s="16"/>
    </row>
    <row r="56" ht="15.75" customHeight="1">
      <c r="A56" s="36"/>
      <c r="B56" s="16"/>
      <c r="C56" s="16"/>
      <c r="D56" s="15"/>
      <c r="E56" s="31"/>
      <c r="F56" s="16"/>
    </row>
    <row r="57" ht="15.75" customHeight="1">
      <c r="A57" s="36"/>
      <c r="B57" s="16"/>
      <c r="C57" s="16"/>
      <c r="D57" s="15"/>
      <c r="E57" s="31"/>
      <c r="F57" s="16"/>
    </row>
    <row r="58" ht="15.75" customHeight="1">
      <c r="A58" s="36"/>
      <c r="B58" s="16"/>
      <c r="C58" s="16"/>
      <c r="D58" s="15"/>
      <c r="E58" s="31"/>
      <c r="F58" s="16"/>
    </row>
    <row r="59" ht="15.75" customHeight="1">
      <c r="A59" s="36"/>
      <c r="B59" s="16"/>
      <c r="C59" s="16"/>
      <c r="D59" s="15"/>
      <c r="E59" s="31"/>
      <c r="F59" s="16"/>
    </row>
    <row r="60" ht="15.75" customHeight="1">
      <c r="A60" s="36"/>
      <c r="B60" s="16"/>
      <c r="C60" s="16"/>
      <c r="D60" s="15"/>
      <c r="E60" s="31"/>
      <c r="F60" s="16"/>
    </row>
    <row r="61" ht="15.75" customHeight="1">
      <c r="A61" s="36"/>
      <c r="B61" s="16"/>
      <c r="C61" s="16"/>
      <c r="D61" s="15"/>
      <c r="E61" s="31"/>
      <c r="F61" s="16"/>
    </row>
    <row r="62" ht="15.75" customHeight="1">
      <c r="A62" s="36"/>
      <c r="B62" s="16"/>
      <c r="C62" s="16"/>
      <c r="D62" s="15"/>
      <c r="E62" s="31"/>
      <c r="F62" s="16"/>
    </row>
    <row r="63" ht="15.75" customHeight="1">
      <c r="A63" s="36"/>
      <c r="B63" s="16"/>
      <c r="C63" s="16"/>
      <c r="D63" s="15"/>
      <c r="E63" s="31"/>
      <c r="F63" s="16"/>
    </row>
    <row r="64" ht="15.75" customHeight="1">
      <c r="A64" s="36"/>
      <c r="B64" s="16"/>
      <c r="C64" s="16"/>
      <c r="D64" s="15"/>
      <c r="E64" s="31"/>
      <c r="F64" s="16"/>
    </row>
    <row r="65" ht="15.75" customHeight="1">
      <c r="A65" s="36"/>
      <c r="B65" s="16"/>
      <c r="C65" s="16"/>
      <c r="D65" s="15"/>
      <c r="E65" s="31"/>
      <c r="F65" s="16"/>
    </row>
    <row r="66" ht="15.75" customHeight="1">
      <c r="A66" s="36"/>
      <c r="B66" s="16"/>
      <c r="C66" s="16"/>
      <c r="D66" s="15"/>
      <c r="E66" s="31"/>
      <c r="F66" s="16"/>
    </row>
    <row r="67" ht="15.75" customHeight="1">
      <c r="A67" s="36"/>
      <c r="B67" s="16"/>
      <c r="C67" s="16"/>
      <c r="D67" s="15"/>
      <c r="E67" s="31"/>
      <c r="F67" s="16"/>
    </row>
    <row r="68" ht="15.75" customHeight="1">
      <c r="A68" s="36"/>
      <c r="B68" s="16"/>
      <c r="C68" s="16"/>
      <c r="D68" s="15"/>
      <c r="E68" s="31"/>
      <c r="F68" s="16"/>
    </row>
    <row r="69" ht="15.75" customHeight="1">
      <c r="A69" s="36"/>
      <c r="B69" s="16"/>
      <c r="C69" s="16"/>
      <c r="D69" s="15"/>
      <c r="E69" s="31"/>
      <c r="F69" s="16"/>
    </row>
    <row r="70" ht="15.75" customHeight="1">
      <c r="A70" s="36"/>
      <c r="B70" s="16"/>
      <c r="C70" s="16"/>
      <c r="D70" s="15"/>
      <c r="E70" s="31"/>
      <c r="F70" s="16"/>
    </row>
    <row r="71" ht="15.75" customHeight="1">
      <c r="A71" s="36"/>
      <c r="B71" s="16"/>
      <c r="C71" s="16"/>
      <c r="D71" s="15"/>
      <c r="E71" s="31"/>
      <c r="F71" s="16"/>
    </row>
    <row r="72" ht="15.75" customHeight="1">
      <c r="A72" s="36"/>
      <c r="B72" s="16"/>
      <c r="C72" s="16"/>
      <c r="D72" s="15"/>
      <c r="E72" s="31"/>
      <c r="F72" s="16"/>
    </row>
    <row r="73" ht="15.75" customHeight="1">
      <c r="A73" s="36"/>
      <c r="B73" s="16"/>
      <c r="C73" s="16"/>
      <c r="D73" s="15"/>
      <c r="E73" s="31"/>
      <c r="F73" s="16"/>
    </row>
    <row r="74" ht="15.75" customHeight="1">
      <c r="A74" s="36"/>
      <c r="B74" s="16"/>
      <c r="C74" s="16"/>
      <c r="D74" s="15"/>
      <c r="E74" s="31"/>
      <c r="F74" s="16"/>
    </row>
    <row r="75" ht="15.75" customHeight="1">
      <c r="A75" s="36"/>
      <c r="B75" s="16"/>
      <c r="C75" s="16"/>
      <c r="D75" s="15"/>
      <c r="E75" s="31"/>
      <c r="F75" s="16"/>
    </row>
    <row r="76" ht="15.75" customHeight="1">
      <c r="A76" s="36"/>
      <c r="B76" s="16"/>
      <c r="C76" s="16"/>
      <c r="D76" s="15"/>
      <c r="E76" s="31"/>
      <c r="F76" s="16"/>
    </row>
    <row r="77" ht="15.75" customHeight="1">
      <c r="A77" s="36"/>
      <c r="B77" s="16"/>
      <c r="C77" s="16"/>
      <c r="D77" s="15"/>
      <c r="E77" s="31"/>
      <c r="F77" s="16"/>
    </row>
    <row r="78" ht="15.75" customHeight="1">
      <c r="A78" s="36"/>
      <c r="B78" s="16"/>
      <c r="C78" s="16"/>
      <c r="D78" s="15"/>
      <c r="E78" s="31"/>
      <c r="F78" s="16"/>
    </row>
    <row r="79" ht="15.75" customHeight="1">
      <c r="A79" s="36"/>
      <c r="B79" s="16"/>
      <c r="C79" s="16"/>
      <c r="D79" s="15"/>
      <c r="E79" s="31"/>
      <c r="F79" s="16"/>
    </row>
    <row r="80" ht="15.75" customHeight="1">
      <c r="A80" s="36"/>
      <c r="B80" s="16"/>
      <c r="C80" s="16"/>
      <c r="D80" s="15"/>
      <c r="E80" s="31"/>
      <c r="F80" s="16"/>
    </row>
    <row r="81" ht="15.75" customHeight="1">
      <c r="A81" s="36"/>
      <c r="B81" s="16"/>
      <c r="C81" s="16"/>
      <c r="D81" s="15"/>
      <c r="E81" s="31"/>
      <c r="F81" s="16"/>
    </row>
    <row r="82" ht="15.75" customHeight="1">
      <c r="A82" s="36"/>
      <c r="B82" s="16"/>
      <c r="C82" s="16"/>
      <c r="D82" s="15"/>
      <c r="E82" s="31"/>
      <c r="F82" s="16"/>
    </row>
    <row r="83" ht="15.75" customHeight="1">
      <c r="A83" s="36"/>
      <c r="B83" s="16"/>
      <c r="C83" s="16"/>
      <c r="D83" s="15"/>
      <c r="E83" s="31"/>
      <c r="F83" s="16"/>
    </row>
    <row r="84" ht="15.75" customHeight="1">
      <c r="A84" s="36"/>
      <c r="B84" s="16"/>
      <c r="C84" s="16"/>
      <c r="D84" s="15"/>
      <c r="E84" s="31"/>
      <c r="F84" s="16"/>
    </row>
    <row r="85" ht="15.75" customHeight="1">
      <c r="A85" s="36"/>
      <c r="B85" s="16"/>
      <c r="C85" s="16"/>
      <c r="D85" s="15"/>
      <c r="E85" s="31"/>
      <c r="F85" s="16"/>
    </row>
    <row r="86" ht="15.75" customHeight="1">
      <c r="A86" s="36"/>
      <c r="B86" s="16"/>
      <c r="C86" s="16"/>
      <c r="D86" s="15"/>
      <c r="E86" s="31"/>
      <c r="F86" s="16"/>
    </row>
    <row r="87" ht="15.75" customHeight="1">
      <c r="A87" s="36"/>
      <c r="B87" s="16"/>
      <c r="C87" s="16"/>
      <c r="D87" s="15"/>
      <c r="E87" s="31"/>
      <c r="F87" s="16"/>
    </row>
    <row r="88" ht="15.75" customHeight="1">
      <c r="A88" s="36"/>
      <c r="B88" s="16"/>
      <c r="C88" s="16"/>
      <c r="D88" s="15"/>
      <c r="E88" s="31"/>
      <c r="F88" s="16"/>
    </row>
    <row r="89" ht="15.75" customHeight="1">
      <c r="A89" s="36"/>
      <c r="B89" s="16"/>
      <c r="C89" s="16"/>
      <c r="D89" s="15"/>
      <c r="E89" s="31"/>
      <c r="F89" s="16"/>
    </row>
    <row r="90" ht="15.75" customHeight="1">
      <c r="A90" s="36"/>
      <c r="B90" s="16"/>
      <c r="C90" s="16"/>
      <c r="D90" s="15"/>
      <c r="E90" s="31"/>
      <c r="F90" s="16"/>
    </row>
    <row r="91" ht="15.75" customHeight="1">
      <c r="A91" s="36"/>
      <c r="B91" s="16"/>
      <c r="C91" s="16"/>
      <c r="D91" s="15"/>
      <c r="E91" s="31"/>
      <c r="F91" s="16"/>
    </row>
    <row r="92" ht="15.75" customHeight="1">
      <c r="A92" s="36"/>
      <c r="B92" s="16"/>
      <c r="C92" s="16"/>
      <c r="D92" s="15"/>
      <c r="E92" s="31"/>
      <c r="F92" s="16"/>
    </row>
    <row r="93" ht="15.75" customHeight="1">
      <c r="A93" s="36"/>
      <c r="B93" s="16"/>
      <c r="C93" s="16"/>
      <c r="D93" s="15"/>
      <c r="E93" s="31"/>
      <c r="F93" s="16"/>
    </row>
    <row r="94" ht="15.75" customHeight="1">
      <c r="A94" s="36"/>
      <c r="B94" s="16"/>
      <c r="C94" s="16"/>
      <c r="D94" s="15"/>
      <c r="E94" s="31"/>
      <c r="F94" s="16"/>
    </row>
    <row r="95" ht="15.75" customHeight="1">
      <c r="A95" s="36"/>
      <c r="B95" s="16"/>
      <c r="C95" s="16"/>
      <c r="D95" s="15"/>
      <c r="E95" s="31"/>
      <c r="F95" s="16"/>
    </row>
    <row r="96" ht="15.75" customHeight="1">
      <c r="A96" s="36"/>
      <c r="B96" s="16"/>
      <c r="C96" s="16"/>
      <c r="D96" s="15"/>
      <c r="E96" s="31"/>
      <c r="F96" s="16"/>
    </row>
    <row r="97" ht="15.75" customHeight="1">
      <c r="A97" s="36"/>
      <c r="B97" s="16"/>
      <c r="C97" s="16"/>
      <c r="D97" s="15"/>
      <c r="E97" s="31"/>
      <c r="F97" s="16"/>
    </row>
    <row r="98" ht="15.75" customHeight="1">
      <c r="A98" s="36"/>
      <c r="B98" s="16"/>
      <c r="C98" s="16"/>
      <c r="D98" s="15"/>
      <c r="E98" s="31"/>
      <c r="F98" s="16"/>
    </row>
    <row r="99" ht="15.75" customHeight="1">
      <c r="A99" s="36"/>
      <c r="B99" s="16"/>
      <c r="C99" s="16"/>
      <c r="D99" s="15"/>
      <c r="E99" s="31"/>
      <c r="F99" s="16"/>
    </row>
    <row r="100" ht="15.75" customHeight="1">
      <c r="A100" s="36"/>
      <c r="B100" s="16"/>
      <c r="C100" s="16"/>
      <c r="D100" s="15"/>
      <c r="E100" s="31"/>
      <c r="F100" s="16"/>
    </row>
    <row r="101" ht="15.75" customHeight="1">
      <c r="A101" s="36"/>
      <c r="B101" s="16"/>
      <c r="C101" s="16"/>
      <c r="D101" s="15"/>
      <c r="E101" s="31"/>
      <c r="F101" s="16"/>
    </row>
    <row r="102" ht="15.75" customHeight="1">
      <c r="A102" s="36"/>
      <c r="B102" s="16"/>
      <c r="C102" s="16"/>
      <c r="D102" s="15"/>
      <c r="E102" s="31"/>
      <c r="F102" s="16"/>
    </row>
    <row r="103" ht="15.75" customHeight="1">
      <c r="A103" s="36"/>
      <c r="B103" s="16"/>
      <c r="C103" s="16"/>
      <c r="D103" s="15"/>
      <c r="E103" s="31"/>
      <c r="F103" s="16"/>
    </row>
    <row r="104" ht="15.75" customHeight="1">
      <c r="A104" s="36"/>
      <c r="B104" s="16"/>
      <c r="C104" s="16"/>
      <c r="D104" s="15"/>
      <c r="E104" s="31"/>
      <c r="F104" s="16"/>
    </row>
    <row r="105" ht="15.75" customHeight="1">
      <c r="A105" s="36"/>
      <c r="B105" s="16"/>
      <c r="C105" s="16"/>
      <c r="D105" s="15"/>
      <c r="E105" s="31"/>
      <c r="F105" s="16"/>
    </row>
    <row r="106" ht="15.75" customHeight="1">
      <c r="A106" s="36"/>
      <c r="B106" s="16"/>
      <c r="C106" s="16"/>
      <c r="D106" s="15"/>
      <c r="E106" s="31"/>
      <c r="F106" s="16"/>
    </row>
    <row r="107" ht="15.75" customHeight="1">
      <c r="A107" s="36"/>
      <c r="B107" s="16"/>
      <c r="C107" s="16"/>
      <c r="D107" s="15"/>
      <c r="E107" s="31"/>
      <c r="F107" s="16"/>
    </row>
    <row r="108" ht="15.75" customHeight="1">
      <c r="A108" s="36"/>
      <c r="B108" s="16"/>
      <c r="C108" s="16"/>
      <c r="D108" s="15"/>
      <c r="E108" s="31"/>
      <c r="F108" s="16"/>
    </row>
    <row r="109" ht="15.75" customHeight="1">
      <c r="A109" s="36"/>
      <c r="B109" s="16"/>
      <c r="C109" s="16"/>
      <c r="D109" s="15"/>
      <c r="E109" s="31"/>
      <c r="F109" s="16"/>
    </row>
    <row r="110" ht="15.75" customHeight="1">
      <c r="A110" s="36"/>
      <c r="B110" s="16"/>
      <c r="C110" s="16"/>
      <c r="D110" s="15"/>
      <c r="E110" s="31"/>
      <c r="F110" s="16"/>
    </row>
    <row r="111" ht="15.75" customHeight="1">
      <c r="A111" s="36"/>
      <c r="B111" s="16"/>
      <c r="C111" s="16"/>
      <c r="D111" s="15"/>
      <c r="E111" s="31"/>
      <c r="F111" s="16"/>
    </row>
    <row r="112" ht="15.75" customHeight="1">
      <c r="A112" s="36"/>
      <c r="B112" s="16"/>
      <c r="C112" s="16"/>
      <c r="D112" s="15"/>
      <c r="E112" s="31"/>
      <c r="F112" s="16"/>
    </row>
    <row r="113" ht="15.75" customHeight="1">
      <c r="A113" s="36"/>
      <c r="B113" s="16"/>
      <c r="C113" s="16"/>
      <c r="D113" s="15"/>
      <c r="E113" s="31"/>
      <c r="F113" s="16"/>
    </row>
    <row r="114" ht="15.75" customHeight="1">
      <c r="A114" s="36"/>
      <c r="B114" s="16"/>
      <c r="C114" s="16"/>
      <c r="D114" s="15"/>
      <c r="E114" s="31"/>
      <c r="F114" s="16"/>
    </row>
    <row r="115" ht="15.75" customHeight="1">
      <c r="A115" s="36"/>
      <c r="B115" s="16"/>
      <c r="C115" s="16"/>
      <c r="D115" s="15"/>
      <c r="E115" s="31"/>
      <c r="F115" s="16"/>
    </row>
    <row r="116" ht="15.75" customHeight="1">
      <c r="A116" s="36"/>
      <c r="B116" s="16"/>
      <c r="C116" s="16"/>
      <c r="D116" s="15"/>
      <c r="E116" s="31"/>
      <c r="F116" s="16"/>
    </row>
    <row r="117" ht="15.75" customHeight="1">
      <c r="A117" s="36"/>
      <c r="B117" s="16"/>
      <c r="C117" s="16"/>
      <c r="D117" s="15"/>
      <c r="E117" s="31"/>
      <c r="F117" s="16"/>
    </row>
    <row r="118" ht="15.75" customHeight="1">
      <c r="A118" s="36"/>
      <c r="B118" s="16"/>
      <c r="C118" s="16"/>
      <c r="D118" s="15"/>
      <c r="E118" s="31"/>
      <c r="F118" s="16"/>
    </row>
    <row r="119" ht="15.75" customHeight="1">
      <c r="A119" s="36"/>
      <c r="B119" s="16"/>
      <c r="C119" s="16"/>
      <c r="D119" s="15"/>
      <c r="E119" s="31"/>
      <c r="F119" s="16"/>
    </row>
    <row r="120" ht="15.75" customHeight="1">
      <c r="A120" s="36"/>
      <c r="B120" s="16"/>
      <c r="C120" s="16"/>
      <c r="D120" s="15"/>
      <c r="E120" s="31"/>
      <c r="F120" s="16"/>
    </row>
    <row r="121" ht="15.75" customHeight="1">
      <c r="A121" s="36"/>
      <c r="B121" s="16"/>
      <c r="C121" s="16"/>
      <c r="D121" s="15"/>
      <c r="E121" s="31"/>
      <c r="F121" s="16"/>
    </row>
    <row r="122" ht="15.75" customHeight="1">
      <c r="A122" s="36"/>
      <c r="B122" s="16"/>
      <c r="C122" s="16"/>
      <c r="D122" s="15"/>
      <c r="E122" s="31"/>
      <c r="F122" s="16"/>
    </row>
    <row r="123" ht="15.75" customHeight="1">
      <c r="A123" s="36"/>
      <c r="B123" s="16"/>
      <c r="C123" s="16"/>
      <c r="D123" s="15"/>
      <c r="E123" s="31"/>
      <c r="F123" s="16"/>
    </row>
    <row r="124" ht="15.75" customHeight="1">
      <c r="A124" s="36"/>
      <c r="B124" s="16"/>
      <c r="C124" s="16"/>
      <c r="D124" s="15"/>
      <c r="E124" s="31"/>
      <c r="F124" s="16"/>
    </row>
    <row r="125" ht="15.75" customHeight="1">
      <c r="A125" s="36"/>
      <c r="B125" s="16"/>
      <c r="C125" s="16"/>
      <c r="D125" s="15"/>
      <c r="E125" s="31"/>
      <c r="F125" s="16"/>
    </row>
    <row r="126" ht="15.75" customHeight="1">
      <c r="A126" s="36"/>
      <c r="B126" s="16"/>
      <c r="C126" s="16"/>
      <c r="D126" s="15"/>
      <c r="E126" s="31"/>
      <c r="F126" s="16"/>
    </row>
    <row r="127" ht="15.75" customHeight="1">
      <c r="A127" s="36"/>
      <c r="B127" s="16"/>
      <c r="C127" s="16"/>
      <c r="D127" s="15"/>
      <c r="E127" s="31"/>
      <c r="F127" s="16"/>
    </row>
    <row r="128" ht="15.75" customHeight="1">
      <c r="A128" s="36"/>
      <c r="B128" s="16"/>
      <c r="C128" s="16"/>
      <c r="D128" s="15"/>
      <c r="E128" s="31"/>
      <c r="F128" s="16"/>
    </row>
    <row r="129" ht="15.75" customHeight="1">
      <c r="A129" s="36"/>
      <c r="B129" s="16"/>
      <c r="C129" s="16"/>
      <c r="D129" s="15"/>
      <c r="E129" s="31"/>
      <c r="F129" s="16"/>
    </row>
    <row r="130" ht="15.75" customHeight="1">
      <c r="A130" s="36"/>
      <c r="B130" s="16"/>
      <c r="C130" s="16"/>
      <c r="D130" s="15"/>
      <c r="E130" s="31"/>
      <c r="F130" s="16"/>
    </row>
    <row r="131" ht="15.75" customHeight="1">
      <c r="A131" s="36"/>
      <c r="B131" s="16"/>
      <c r="C131" s="16"/>
      <c r="D131" s="15"/>
      <c r="E131" s="31"/>
      <c r="F131" s="16"/>
    </row>
    <row r="132" ht="15.75" customHeight="1">
      <c r="A132" s="36"/>
      <c r="B132" s="16"/>
      <c r="C132" s="16"/>
      <c r="D132" s="15"/>
      <c r="E132" s="31"/>
      <c r="F132" s="16"/>
    </row>
    <row r="133" ht="15.75" customHeight="1">
      <c r="A133" s="36"/>
      <c r="B133" s="16"/>
      <c r="C133" s="16"/>
      <c r="D133" s="15"/>
      <c r="E133" s="31"/>
      <c r="F133" s="16"/>
    </row>
    <row r="134" ht="15.75" customHeight="1">
      <c r="A134" s="36"/>
      <c r="B134" s="16"/>
      <c r="C134" s="16"/>
      <c r="D134" s="15"/>
      <c r="E134" s="31"/>
      <c r="F134" s="16"/>
    </row>
    <row r="135" ht="15.75" customHeight="1">
      <c r="A135" s="36"/>
      <c r="B135" s="16"/>
      <c r="C135" s="16"/>
      <c r="D135" s="15"/>
      <c r="E135" s="31"/>
      <c r="F135" s="16"/>
    </row>
    <row r="136" ht="15.75" customHeight="1">
      <c r="A136" s="36"/>
      <c r="B136" s="16"/>
      <c r="C136" s="16"/>
      <c r="D136" s="15"/>
      <c r="E136" s="31"/>
      <c r="F136" s="16"/>
    </row>
    <row r="137" ht="15.75" customHeight="1">
      <c r="A137" s="36"/>
      <c r="B137" s="16"/>
      <c r="C137" s="16"/>
      <c r="D137" s="15"/>
      <c r="E137" s="31"/>
      <c r="F137" s="16"/>
    </row>
    <row r="138" ht="15.75" customHeight="1">
      <c r="A138" s="36"/>
      <c r="B138" s="16"/>
      <c r="C138" s="16"/>
      <c r="D138" s="15"/>
      <c r="E138" s="31"/>
      <c r="F138" s="16"/>
    </row>
    <row r="139" ht="15.75" customHeight="1">
      <c r="A139" s="36"/>
      <c r="B139" s="16"/>
      <c r="C139" s="16"/>
      <c r="D139" s="15"/>
      <c r="E139" s="31"/>
      <c r="F139" s="16"/>
    </row>
    <row r="140" ht="15.75" customHeight="1">
      <c r="A140" s="36"/>
      <c r="B140" s="16"/>
      <c r="C140" s="16"/>
      <c r="D140" s="15"/>
      <c r="E140" s="31"/>
      <c r="F140" s="16"/>
    </row>
    <row r="141" ht="15.75" customHeight="1">
      <c r="A141" s="36"/>
      <c r="B141" s="16"/>
      <c r="C141" s="16"/>
      <c r="D141" s="15"/>
      <c r="E141" s="31"/>
      <c r="F141" s="16"/>
    </row>
    <row r="142" ht="15.75" customHeight="1">
      <c r="A142" s="36"/>
      <c r="B142" s="16"/>
      <c r="C142" s="16"/>
      <c r="D142" s="15"/>
      <c r="E142" s="31"/>
      <c r="F142" s="16"/>
    </row>
    <row r="143" ht="15.75" customHeight="1">
      <c r="A143" s="36"/>
      <c r="B143" s="16"/>
      <c r="C143" s="16"/>
      <c r="D143" s="15"/>
      <c r="E143" s="31"/>
      <c r="F143" s="16"/>
    </row>
    <row r="144" ht="15.75" customHeight="1">
      <c r="A144" s="36"/>
      <c r="B144" s="16"/>
      <c r="C144" s="16"/>
      <c r="D144" s="15"/>
      <c r="E144" s="31"/>
      <c r="F144" s="16"/>
    </row>
    <row r="145" ht="15.75" customHeight="1">
      <c r="A145" s="36"/>
      <c r="B145" s="16"/>
      <c r="C145" s="16"/>
      <c r="D145" s="15"/>
      <c r="E145" s="31"/>
      <c r="F145" s="16"/>
    </row>
    <row r="146" ht="15.75" customHeight="1">
      <c r="A146" s="36"/>
      <c r="B146" s="16"/>
      <c r="C146" s="16"/>
      <c r="D146" s="15"/>
      <c r="E146" s="31"/>
      <c r="F146" s="16"/>
    </row>
    <row r="147" ht="15.75" customHeight="1">
      <c r="A147" s="36"/>
      <c r="B147" s="16"/>
      <c r="C147" s="16"/>
      <c r="D147" s="15"/>
      <c r="E147" s="31"/>
      <c r="F147" s="16"/>
    </row>
    <row r="148" ht="15.75" customHeight="1">
      <c r="A148" s="36"/>
      <c r="B148" s="16"/>
      <c r="C148" s="16"/>
      <c r="D148" s="15"/>
      <c r="E148" s="31"/>
      <c r="F148" s="16"/>
    </row>
    <row r="149" ht="15.75" customHeight="1">
      <c r="A149" s="36"/>
      <c r="B149" s="16"/>
      <c r="C149" s="16"/>
      <c r="D149" s="15"/>
      <c r="E149" s="31"/>
      <c r="F149" s="16"/>
    </row>
    <row r="150" ht="15.75" customHeight="1">
      <c r="A150" s="36"/>
      <c r="B150" s="16"/>
      <c r="C150" s="16"/>
      <c r="D150" s="15"/>
      <c r="E150" s="31"/>
      <c r="F150" s="16"/>
    </row>
    <row r="151" ht="15.75" customHeight="1">
      <c r="A151" s="36"/>
      <c r="B151" s="16"/>
      <c r="C151" s="16"/>
      <c r="D151" s="15"/>
      <c r="E151" s="31"/>
      <c r="F151" s="16"/>
    </row>
    <row r="152" ht="15.75" customHeight="1">
      <c r="A152" s="36"/>
      <c r="B152" s="16"/>
      <c r="C152" s="16"/>
      <c r="D152" s="15"/>
      <c r="E152" s="31"/>
      <c r="F152" s="16"/>
    </row>
    <row r="153" ht="15.75" customHeight="1">
      <c r="A153" s="36"/>
      <c r="B153" s="16"/>
      <c r="C153" s="16"/>
      <c r="D153" s="15"/>
      <c r="E153" s="31"/>
      <c r="F153" s="16"/>
    </row>
    <row r="154" ht="15.75" customHeight="1">
      <c r="A154" s="36"/>
      <c r="B154" s="16"/>
      <c r="C154" s="16"/>
      <c r="D154" s="15"/>
      <c r="E154" s="31"/>
      <c r="F154" s="16"/>
    </row>
    <row r="155" ht="15.75" customHeight="1">
      <c r="A155" s="36"/>
      <c r="B155" s="16"/>
      <c r="C155" s="16"/>
      <c r="D155" s="15"/>
      <c r="E155" s="31"/>
      <c r="F155" s="16"/>
    </row>
    <row r="156" ht="15.75" customHeight="1">
      <c r="A156" s="36"/>
      <c r="B156" s="16"/>
      <c r="C156" s="16"/>
      <c r="D156" s="15"/>
      <c r="E156" s="31"/>
      <c r="F156" s="16"/>
    </row>
    <row r="157" ht="15.75" customHeight="1">
      <c r="A157" s="36"/>
      <c r="B157" s="16"/>
      <c r="C157" s="16"/>
      <c r="D157" s="15"/>
      <c r="E157" s="31"/>
      <c r="F157" s="16"/>
    </row>
    <row r="158" ht="15.75" customHeight="1">
      <c r="A158" s="36"/>
      <c r="B158" s="16"/>
      <c r="C158" s="16"/>
      <c r="D158" s="15"/>
      <c r="E158" s="31"/>
      <c r="F158" s="16"/>
    </row>
    <row r="159" ht="15.75" customHeight="1">
      <c r="A159" s="36"/>
      <c r="B159" s="16"/>
      <c r="C159" s="16"/>
      <c r="D159" s="15"/>
      <c r="E159" s="31"/>
      <c r="F159" s="16"/>
    </row>
    <row r="160" ht="15.75" customHeight="1">
      <c r="A160" s="36"/>
      <c r="B160" s="16"/>
      <c r="C160" s="16"/>
      <c r="D160" s="15"/>
      <c r="E160" s="31"/>
      <c r="F160" s="16"/>
    </row>
    <row r="161" ht="15.75" customHeight="1">
      <c r="A161" s="36"/>
      <c r="B161" s="16"/>
      <c r="C161" s="16"/>
      <c r="D161" s="15"/>
      <c r="E161" s="31"/>
      <c r="F161" s="16"/>
    </row>
    <row r="162" ht="15.75" customHeight="1">
      <c r="A162" s="36"/>
      <c r="B162" s="16"/>
      <c r="C162" s="16"/>
      <c r="D162" s="15"/>
      <c r="E162" s="31"/>
      <c r="F162" s="16"/>
    </row>
    <row r="163" ht="15.75" customHeight="1">
      <c r="A163" s="36"/>
      <c r="B163" s="16"/>
      <c r="C163" s="16"/>
      <c r="D163" s="15"/>
      <c r="E163" s="31"/>
      <c r="F163" s="16"/>
    </row>
    <row r="164" ht="15.75" customHeight="1">
      <c r="A164" s="36"/>
      <c r="B164" s="16"/>
      <c r="C164" s="16"/>
      <c r="D164" s="15"/>
      <c r="E164" s="31"/>
      <c r="F164" s="16"/>
    </row>
    <row r="165" ht="15.75" customHeight="1">
      <c r="A165" s="36"/>
      <c r="B165" s="16"/>
      <c r="C165" s="16"/>
      <c r="D165" s="15"/>
      <c r="E165" s="31"/>
      <c r="F165" s="16"/>
    </row>
    <row r="166" ht="15.75" customHeight="1">
      <c r="A166" s="36"/>
      <c r="B166" s="16"/>
      <c r="C166" s="16"/>
      <c r="D166" s="15"/>
      <c r="E166" s="31"/>
      <c r="F166" s="16"/>
    </row>
    <row r="167" ht="15.75" customHeight="1">
      <c r="A167" s="36"/>
      <c r="B167" s="16"/>
      <c r="C167" s="16"/>
      <c r="D167" s="15"/>
      <c r="E167" s="31"/>
      <c r="F167" s="16"/>
    </row>
    <row r="168" ht="15.75" customHeight="1">
      <c r="A168" s="36"/>
      <c r="B168" s="16"/>
      <c r="C168" s="16"/>
      <c r="D168" s="15"/>
      <c r="E168" s="31"/>
      <c r="F168" s="16"/>
    </row>
    <row r="169" ht="15.75" customHeight="1">
      <c r="A169" s="36"/>
      <c r="B169" s="16"/>
      <c r="C169" s="16"/>
      <c r="D169" s="15"/>
      <c r="E169" s="31"/>
      <c r="F169" s="16"/>
    </row>
    <row r="170" ht="15.75" customHeight="1">
      <c r="A170" s="36"/>
      <c r="B170" s="16"/>
      <c r="C170" s="16"/>
      <c r="D170" s="15"/>
      <c r="E170" s="31"/>
      <c r="F170" s="16"/>
    </row>
    <row r="171" ht="15.75" customHeight="1">
      <c r="A171" s="36"/>
      <c r="B171" s="16"/>
      <c r="C171" s="16"/>
      <c r="D171" s="15"/>
      <c r="E171" s="31"/>
      <c r="F171" s="16"/>
    </row>
    <row r="172" ht="15.75" customHeight="1">
      <c r="A172" s="36"/>
      <c r="B172" s="16"/>
      <c r="C172" s="16"/>
      <c r="D172" s="15"/>
      <c r="E172" s="31"/>
      <c r="F172" s="16"/>
    </row>
    <row r="173" ht="15.75" customHeight="1">
      <c r="A173" s="36"/>
      <c r="B173" s="16"/>
      <c r="C173" s="16"/>
      <c r="D173" s="15"/>
      <c r="E173" s="31"/>
      <c r="F173" s="16"/>
    </row>
    <row r="174" ht="15.75" customHeight="1">
      <c r="A174" s="36"/>
      <c r="B174" s="16"/>
      <c r="C174" s="16"/>
      <c r="D174" s="15"/>
      <c r="E174" s="31"/>
      <c r="F174" s="16"/>
    </row>
    <row r="175" ht="15.75" customHeight="1">
      <c r="A175" s="36"/>
      <c r="B175" s="16"/>
      <c r="C175" s="16"/>
      <c r="D175" s="15"/>
      <c r="E175" s="31"/>
      <c r="F175" s="16"/>
    </row>
    <row r="176" ht="15.75" customHeight="1">
      <c r="A176" s="36"/>
      <c r="B176" s="16"/>
      <c r="C176" s="16"/>
      <c r="D176" s="15"/>
      <c r="E176" s="31"/>
      <c r="F176" s="16"/>
    </row>
    <row r="177" ht="15.75" customHeight="1">
      <c r="A177" s="36"/>
      <c r="B177" s="16"/>
      <c r="C177" s="16"/>
      <c r="D177" s="15"/>
      <c r="E177" s="31"/>
      <c r="F177" s="16"/>
    </row>
    <row r="178" ht="15.75" customHeight="1">
      <c r="A178" s="36"/>
      <c r="B178" s="16"/>
      <c r="C178" s="16"/>
      <c r="D178" s="15"/>
      <c r="E178" s="31"/>
      <c r="F178" s="16"/>
    </row>
    <row r="179" ht="15.75" customHeight="1">
      <c r="A179" s="36"/>
      <c r="B179" s="16"/>
      <c r="C179" s="16"/>
      <c r="D179" s="15"/>
      <c r="E179" s="31"/>
      <c r="F179" s="16"/>
    </row>
    <row r="180" ht="15.75" customHeight="1">
      <c r="A180" s="36"/>
      <c r="B180" s="16"/>
      <c r="C180" s="16"/>
      <c r="D180" s="15"/>
      <c r="E180" s="31"/>
      <c r="F180" s="16"/>
    </row>
    <row r="181" ht="15.75" customHeight="1">
      <c r="A181" s="36"/>
      <c r="B181" s="16"/>
      <c r="C181" s="16"/>
      <c r="D181" s="15"/>
      <c r="E181" s="31"/>
      <c r="F181" s="16"/>
    </row>
    <row r="182" ht="15.75" customHeight="1">
      <c r="A182" s="36"/>
      <c r="B182" s="16"/>
      <c r="C182" s="16"/>
      <c r="D182" s="15"/>
      <c r="E182" s="31"/>
      <c r="F182" s="16"/>
    </row>
    <row r="183" ht="15.75" customHeight="1">
      <c r="A183" s="36"/>
      <c r="B183" s="16"/>
      <c r="C183" s="16"/>
      <c r="D183" s="15"/>
      <c r="E183" s="31"/>
      <c r="F183" s="16"/>
    </row>
    <row r="184" ht="15.75" customHeight="1">
      <c r="A184" s="36"/>
      <c r="B184" s="16"/>
      <c r="C184" s="16"/>
      <c r="D184" s="15"/>
      <c r="E184" s="31"/>
      <c r="F184" s="16"/>
    </row>
    <row r="185" ht="15.75" customHeight="1">
      <c r="A185" s="36"/>
      <c r="B185" s="16"/>
      <c r="C185" s="16"/>
      <c r="D185" s="15"/>
      <c r="E185" s="31"/>
      <c r="F185" s="16"/>
    </row>
    <row r="186" ht="15.75" customHeight="1">
      <c r="A186" s="36"/>
      <c r="B186" s="16"/>
      <c r="C186" s="16"/>
      <c r="D186" s="15"/>
      <c r="E186" s="31"/>
      <c r="F186" s="16"/>
    </row>
    <row r="187" ht="15.75" customHeight="1">
      <c r="A187" s="36"/>
      <c r="B187" s="16"/>
      <c r="C187" s="16"/>
      <c r="D187" s="15"/>
      <c r="E187" s="31"/>
      <c r="F187" s="16"/>
    </row>
    <row r="188" ht="15.75" customHeight="1">
      <c r="A188" s="36"/>
      <c r="B188" s="16"/>
      <c r="C188" s="16"/>
      <c r="D188" s="15"/>
      <c r="E188" s="31"/>
      <c r="F188" s="16"/>
    </row>
    <row r="189" ht="15.75" customHeight="1">
      <c r="A189" s="36"/>
      <c r="B189" s="16"/>
      <c r="C189" s="16"/>
      <c r="D189" s="15"/>
      <c r="E189" s="31"/>
      <c r="F189" s="16"/>
    </row>
    <row r="190" ht="15.75" customHeight="1">
      <c r="A190" s="36"/>
      <c r="B190" s="16"/>
      <c r="C190" s="16"/>
      <c r="D190" s="15"/>
      <c r="E190" s="31"/>
      <c r="F190" s="16"/>
    </row>
    <row r="191" ht="15.75" customHeight="1">
      <c r="A191" s="36"/>
      <c r="B191" s="16"/>
      <c r="C191" s="16"/>
      <c r="D191" s="15"/>
      <c r="E191" s="31"/>
      <c r="F191" s="16"/>
    </row>
    <row r="192" ht="15.75" customHeight="1">
      <c r="A192" s="36"/>
      <c r="B192" s="16"/>
      <c r="C192" s="16"/>
      <c r="D192" s="15"/>
      <c r="E192" s="31"/>
      <c r="F192" s="16"/>
    </row>
    <row r="193" ht="15.75" customHeight="1">
      <c r="A193" s="36"/>
      <c r="B193" s="16"/>
      <c r="C193" s="16"/>
      <c r="D193" s="15"/>
      <c r="E193" s="31"/>
      <c r="F193" s="16"/>
    </row>
    <row r="194" ht="15.75" customHeight="1">
      <c r="A194" s="36"/>
      <c r="B194" s="16"/>
      <c r="C194" s="16"/>
      <c r="D194" s="15"/>
      <c r="E194" s="31"/>
      <c r="F194" s="16"/>
    </row>
    <row r="195" ht="15.75" customHeight="1">
      <c r="A195" s="36"/>
      <c r="B195" s="16"/>
      <c r="C195" s="16"/>
      <c r="D195" s="15"/>
      <c r="E195" s="31"/>
      <c r="F195" s="16"/>
    </row>
    <row r="196" ht="15.75" customHeight="1">
      <c r="A196" s="36"/>
      <c r="B196" s="16"/>
      <c r="C196" s="16"/>
      <c r="D196" s="15"/>
      <c r="E196" s="31"/>
      <c r="F196" s="16"/>
    </row>
    <row r="197" ht="15.75" customHeight="1">
      <c r="A197" s="36"/>
      <c r="B197" s="16"/>
      <c r="C197" s="16"/>
      <c r="D197" s="15"/>
      <c r="E197" s="31"/>
      <c r="F197" s="16"/>
    </row>
    <row r="198" ht="15.75" customHeight="1">
      <c r="A198" s="36"/>
      <c r="B198" s="16"/>
      <c r="C198" s="16"/>
      <c r="D198" s="15"/>
      <c r="E198" s="31"/>
      <c r="F198" s="16"/>
    </row>
    <row r="199" ht="15.75" customHeight="1">
      <c r="A199" s="36"/>
      <c r="B199" s="16"/>
      <c r="C199" s="16"/>
      <c r="D199" s="15"/>
      <c r="E199" s="31"/>
      <c r="F199" s="16"/>
    </row>
    <row r="200" ht="15.75" customHeight="1">
      <c r="A200" s="36"/>
      <c r="B200" s="16"/>
      <c r="C200" s="16"/>
      <c r="D200" s="15"/>
      <c r="E200" s="31"/>
      <c r="F200" s="16"/>
    </row>
    <row r="201" ht="15.75" customHeight="1">
      <c r="A201" s="36"/>
      <c r="B201" s="16"/>
      <c r="C201" s="16"/>
      <c r="D201" s="15"/>
      <c r="E201" s="31"/>
      <c r="F201" s="16"/>
    </row>
    <row r="202" ht="15.75" customHeight="1">
      <c r="A202" s="36"/>
      <c r="B202" s="16"/>
      <c r="C202" s="16"/>
      <c r="D202" s="15"/>
      <c r="E202" s="31"/>
      <c r="F202" s="16"/>
    </row>
    <row r="203" ht="15.75" customHeight="1">
      <c r="A203" s="36"/>
      <c r="B203" s="16"/>
      <c r="C203" s="16"/>
      <c r="D203" s="15"/>
      <c r="E203" s="31"/>
      <c r="F203" s="16"/>
    </row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B2:C2"/>
    <mergeCell ref="E2:F2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0"/>
    <col customWidth="1" min="2" max="2" width="16.0"/>
    <col customWidth="1" min="3" max="3" width="18.0"/>
    <col customWidth="1" min="4" max="6" width="16.0"/>
    <col customWidth="1" min="7" max="7" width="28.0"/>
    <col customWidth="1" min="8" max="26" width="8.71"/>
  </cols>
  <sheetData>
    <row r="1" ht="24.0" customHeight="1">
      <c r="A1" s="27" t="s">
        <v>58</v>
      </c>
      <c r="B1" s="28"/>
      <c r="C1" s="28"/>
      <c r="D1" s="28"/>
      <c r="E1" s="28"/>
      <c r="F1" s="28"/>
      <c r="G1" s="9"/>
    </row>
    <row r="2">
      <c r="B2" s="39" t="s">
        <v>59</v>
      </c>
      <c r="C2" s="40">
        <v>1.75</v>
      </c>
      <c r="E2" s="39" t="s">
        <v>60</v>
      </c>
      <c r="F2" s="41">
        <f>SUM(E6:E205)</f>
        <v>2130</v>
      </c>
    </row>
    <row r="3">
      <c r="B3" s="39" t="s">
        <v>61</v>
      </c>
      <c r="C3" s="42">
        <v>6.0</v>
      </c>
      <c r="E3" s="39" t="s">
        <v>62</v>
      </c>
      <c r="F3" s="38">
        <f>SUM(F6:F205)</f>
        <v>3727.5</v>
      </c>
    </row>
    <row r="4">
      <c r="A4" s="26" t="s">
        <v>63</v>
      </c>
    </row>
    <row r="5" ht="27.75" customHeight="1">
      <c r="A5" s="29" t="s">
        <v>36</v>
      </c>
      <c r="B5" s="29" t="s">
        <v>64</v>
      </c>
      <c r="C5" s="29" t="s">
        <v>65</v>
      </c>
      <c r="D5" s="29" t="s">
        <v>66</v>
      </c>
      <c r="E5" s="29" t="s">
        <v>67</v>
      </c>
      <c r="F5" s="29" t="s">
        <v>68</v>
      </c>
      <c r="G5" s="29" t="s">
        <v>43</v>
      </c>
    </row>
    <row r="6">
      <c r="A6" s="36" t="s">
        <v>69</v>
      </c>
      <c r="B6" s="43">
        <v>1986.0</v>
      </c>
      <c r="C6" s="44">
        <v>24.0</v>
      </c>
      <c r="D6" s="45">
        <f t="shared" ref="D6:D205" si="1">IF(C6="","",C6*$C$3)</f>
        <v>144</v>
      </c>
      <c r="E6" s="45">
        <f t="shared" ref="E6:E205" si="2">IF(AND(B6="",D6=""),"",N(B6)+N(D6))</f>
        <v>2130</v>
      </c>
      <c r="F6" s="15">
        <f t="shared" ref="F6:F205" si="3">IF(E6="","",E6*$C$2)</f>
        <v>3727.5</v>
      </c>
      <c r="G6" s="35" t="s">
        <v>70</v>
      </c>
    </row>
    <row r="7">
      <c r="A7" s="36"/>
      <c r="B7" s="45"/>
      <c r="C7" s="46"/>
      <c r="D7" s="45" t="str">
        <f t="shared" si="1"/>
        <v/>
      </c>
      <c r="E7" s="45" t="str">
        <f t="shared" si="2"/>
        <v/>
      </c>
      <c r="F7" s="15" t="str">
        <f t="shared" si="3"/>
        <v/>
      </c>
      <c r="G7" s="16"/>
    </row>
    <row r="8">
      <c r="A8" s="36"/>
      <c r="B8" s="45"/>
      <c r="C8" s="46"/>
      <c r="D8" s="45" t="str">
        <f t="shared" si="1"/>
        <v/>
      </c>
      <c r="E8" s="45" t="str">
        <f t="shared" si="2"/>
        <v/>
      </c>
      <c r="F8" s="15" t="str">
        <f t="shared" si="3"/>
        <v/>
      </c>
      <c r="G8" s="16"/>
    </row>
    <row r="9">
      <c r="A9" s="36"/>
      <c r="B9" s="45"/>
      <c r="C9" s="46"/>
      <c r="D9" s="45" t="str">
        <f t="shared" si="1"/>
        <v/>
      </c>
      <c r="E9" s="45" t="str">
        <f t="shared" si="2"/>
        <v/>
      </c>
      <c r="F9" s="15" t="str">
        <f t="shared" si="3"/>
        <v/>
      </c>
      <c r="G9" s="16"/>
    </row>
    <row r="10">
      <c r="A10" s="36"/>
      <c r="B10" s="45"/>
      <c r="C10" s="46"/>
      <c r="D10" s="45" t="str">
        <f t="shared" si="1"/>
        <v/>
      </c>
      <c r="E10" s="45" t="str">
        <f t="shared" si="2"/>
        <v/>
      </c>
      <c r="F10" s="15" t="str">
        <f t="shared" si="3"/>
        <v/>
      </c>
      <c r="G10" s="16"/>
    </row>
    <row r="11">
      <c r="A11" s="36"/>
      <c r="B11" s="45"/>
      <c r="C11" s="46"/>
      <c r="D11" s="45" t="str">
        <f t="shared" si="1"/>
        <v/>
      </c>
      <c r="E11" s="45" t="str">
        <f t="shared" si="2"/>
        <v/>
      </c>
      <c r="F11" s="15" t="str">
        <f t="shared" si="3"/>
        <v/>
      </c>
      <c r="G11" s="16"/>
    </row>
    <row r="12">
      <c r="A12" s="36"/>
      <c r="B12" s="45"/>
      <c r="C12" s="46"/>
      <c r="D12" s="45" t="str">
        <f t="shared" si="1"/>
        <v/>
      </c>
      <c r="E12" s="45" t="str">
        <f t="shared" si="2"/>
        <v/>
      </c>
      <c r="F12" s="15" t="str">
        <f t="shared" si="3"/>
        <v/>
      </c>
      <c r="G12" s="16"/>
    </row>
    <row r="13">
      <c r="A13" s="36"/>
      <c r="B13" s="45"/>
      <c r="C13" s="46"/>
      <c r="D13" s="45" t="str">
        <f t="shared" si="1"/>
        <v/>
      </c>
      <c r="E13" s="45" t="str">
        <f t="shared" si="2"/>
        <v/>
      </c>
      <c r="F13" s="15" t="str">
        <f t="shared" si="3"/>
        <v/>
      </c>
      <c r="G13" s="16"/>
    </row>
    <row r="14">
      <c r="A14" s="36"/>
      <c r="B14" s="45"/>
      <c r="C14" s="46"/>
      <c r="D14" s="45" t="str">
        <f t="shared" si="1"/>
        <v/>
      </c>
      <c r="E14" s="45" t="str">
        <f t="shared" si="2"/>
        <v/>
      </c>
      <c r="F14" s="15" t="str">
        <f t="shared" si="3"/>
        <v/>
      </c>
      <c r="G14" s="16"/>
    </row>
    <row r="15">
      <c r="A15" s="36"/>
      <c r="B15" s="45"/>
      <c r="C15" s="46"/>
      <c r="D15" s="45" t="str">
        <f t="shared" si="1"/>
        <v/>
      </c>
      <c r="E15" s="45" t="str">
        <f t="shared" si="2"/>
        <v/>
      </c>
      <c r="F15" s="15" t="str">
        <f t="shared" si="3"/>
        <v/>
      </c>
      <c r="G15" s="16"/>
    </row>
    <row r="16">
      <c r="A16" s="36"/>
      <c r="B16" s="45"/>
      <c r="C16" s="46"/>
      <c r="D16" s="45" t="str">
        <f t="shared" si="1"/>
        <v/>
      </c>
      <c r="E16" s="45" t="str">
        <f t="shared" si="2"/>
        <v/>
      </c>
      <c r="F16" s="15" t="str">
        <f t="shared" si="3"/>
        <v/>
      </c>
      <c r="G16" s="16"/>
    </row>
    <row r="17">
      <c r="A17" s="36"/>
      <c r="B17" s="45"/>
      <c r="C17" s="46"/>
      <c r="D17" s="45" t="str">
        <f t="shared" si="1"/>
        <v/>
      </c>
      <c r="E17" s="45" t="str">
        <f t="shared" si="2"/>
        <v/>
      </c>
      <c r="F17" s="15" t="str">
        <f t="shared" si="3"/>
        <v/>
      </c>
      <c r="G17" s="16"/>
    </row>
    <row r="18">
      <c r="A18" s="36"/>
      <c r="B18" s="45"/>
      <c r="C18" s="46"/>
      <c r="D18" s="45" t="str">
        <f t="shared" si="1"/>
        <v/>
      </c>
      <c r="E18" s="45" t="str">
        <f t="shared" si="2"/>
        <v/>
      </c>
      <c r="F18" s="15" t="str">
        <f t="shared" si="3"/>
        <v/>
      </c>
      <c r="G18" s="16"/>
    </row>
    <row r="19">
      <c r="A19" s="36"/>
      <c r="B19" s="45"/>
      <c r="C19" s="46"/>
      <c r="D19" s="45" t="str">
        <f t="shared" si="1"/>
        <v/>
      </c>
      <c r="E19" s="45" t="str">
        <f t="shared" si="2"/>
        <v/>
      </c>
      <c r="F19" s="15" t="str">
        <f t="shared" si="3"/>
        <v/>
      </c>
      <c r="G19" s="16"/>
    </row>
    <row r="20">
      <c r="A20" s="36"/>
      <c r="B20" s="45"/>
      <c r="C20" s="46"/>
      <c r="D20" s="45" t="str">
        <f t="shared" si="1"/>
        <v/>
      </c>
      <c r="E20" s="45" t="str">
        <f t="shared" si="2"/>
        <v/>
      </c>
      <c r="F20" s="15" t="str">
        <f t="shared" si="3"/>
        <v/>
      </c>
      <c r="G20" s="16"/>
    </row>
    <row r="21" ht="15.75" customHeight="1">
      <c r="A21" s="36"/>
      <c r="B21" s="45"/>
      <c r="C21" s="46"/>
      <c r="D21" s="45" t="str">
        <f t="shared" si="1"/>
        <v/>
      </c>
      <c r="E21" s="45" t="str">
        <f t="shared" si="2"/>
        <v/>
      </c>
      <c r="F21" s="15" t="str">
        <f t="shared" si="3"/>
        <v/>
      </c>
      <c r="G21" s="16"/>
    </row>
    <row r="22" ht="15.75" customHeight="1">
      <c r="A22" s="36"/>
      <c r="B22" s="45"/>
      <c r="C22" s="46"/>
      <c r="D22" s="45" t="str">
        <f t="shared" si="1"/>
        <v/>
      </c>
      <c r="E22" s="45" t="str">
        <f t="shared" si="2"/>
        <v/>
      </c>
      <c r="F22" s="15" t="str">
        <f t="shared" si="3"/>
        <v/>
      </c>
      <c r="G22" s="16"/>
    </row>
    <row r="23" ht="15.75" customHeight="1">
      <c r="A23" s="36"/>
      <c r="B23" s="45"/>
      <c r="C23" s="46"/>
      <c r="D23" s="45" t="str">
        <f t="shared" si="1"/>
        <v/>
      </c>
      <c r="E23" s="45" t="str">
        <f t="shared" si="2"/>
        <v/>
      </c>
      <c r="F23" s="15" t="str">
        <f t="shared" si="3"/>
        <v/>
      </c>
      <c r="G23" s="16"/>
    </row>
    <row r="24" ht="15.75" customHeight="1">
      <c r="A24" s="36"/>
      <c r="B24" s="45"/>
      <c r="C24" s="46"/>
      <c r="D24" s="45" t="str">
        <f t="shared" si="1"/>
        <v/>
      </c>
      <c r="E24" s="45" t="str">
        <f t="shared" si="2"/>
        <v/>
      </c>
      <c r="F24" s="15" t="str">
        <f t="shared" si="3"/>
        <v/>
      </c>
      <c r="G24" s="16"/>
    </row>
    <row r="25" ht="15.75" customHeight="1">
      <c r="A25" s="36"/>
      <c r="B25" s="45"/>
      <c r="C25" s="46"/>
      <c r="D25" s="45" t="str">
        <f t="shared" si="1"/>
        <v/>
      </c>
      <c r="E25" s="45" t="str">
        <f t="shared" si="2"/>
        <v/>
      </c>
      <c r="F25" s="15" t="str">
        <f t="shared" si="3"/>
        <v/>
      </c>
      <c r="G25" s="16"/>
    </row>
    <row r="26" ht="15.75" customHeight="1">
      <c r="A26" s="36"/>
      <c r="B26" s="45"/>
      <c r="C26" s="46"/>
      <c r="D26" s="45" t="str">
        <f t="shared" si="1"/>
        <v/>
      </c>
      <c r="E26" s="45" t="str">
        <f t="shared" si="2"/>
        <v/>
      </c>
      <c r="F26" s="15" t="str">
        <f t="shared" si="3"/>
        <v/>
      </c>
      <c r="G26" s="16"/>
    </row>
    <row r="27" ht="15.75" customHeight="1">
      <c r="A27" s="36"/>
      <c r="B27" s="45"/>
      <c r="C27" s="46"/>
      <c r="D27" s="45" t="str">
        <f t="shared" si="1"/>
        <v/>
      </c>
      <c r="E27" s="45" t="str">
        <f t="shared" si="2"/>
        <v/>
      </c>
      <c r="F27" s="15" t="str">
        <f t="shared" si="3"/>
        <v/>
      </c>
      <c r="G27" s="16"/>
    </row>
    <row r="28" ht="15.75" customHeight="1">
      <c r="A28" s="36"/>
      <c r="B28" s="45"/>
      <c r="C28" s="46"/>
      <c r="D28" s="45" t="str">
        <f t="shared" si="1"/>
        <v/>
      </c>
      <c r="E28" s="45" t="str">
        <f t="shared" si="2"/>
        <v/>
      </c>
      <c r="F28" s="15" t="str">
        <f t="shared" si="3"/>
        <v/>
      </c>
      <c r="G28" s="16"/>
    </row>
    <row r="29" ht="15.75" customHeight="1">
      <c r="A29" s="36"/>
      <c r="B29" s="45"/>
      <c r="C29" s="46"/>
      <c r="D29" s="45" t="str">
        <f t="shared" si="1"/>
        <v/>
      </c>
      <c r="E29" s="45" t="str">
        <f t="shared" si="2"/>
        <v/>
      </c>
      <c r="F29" s="15" t="str">
        <f t="shared" si="3"/>
        <v/>
      </c>
      <c r="G29" s="16"/>
    </row>
    <row r="30" ht="15.75" customHeight="1">
      <c r="A30" s="36"/>
      <c r="B30" s="45"/>
      <c r="C30" s="46"/>
      <c r="D30" s="45" t="str">
        <f t="shared" si="1"/>
        <v/>
      </c>
      <c r="E30" s="45" t="str">
        <f t="shared" si="2"/>
        <v/>
      </c>
      <c r="F30" s="15" t="str">
        <f t="shared" si="3"/>
        <v/>
      </c>
      <c r="G30" s="16"/>
    </row>
    <row r="31" ht="15.75" customHeight="1">
      <c r="A31" s="36"/>
      <c r="B31" s="45"/>
      <c r="C31" s="46"/>
      <c r="D31" s="45" t="str">
        <f t="shared" si="1"/>
        <v/>
      </c>
      <c r="E31" s="45" t="str">
        <f t="shared" si="2"/>
        <v/>
      </c>
      <c r="F31" s="15" t="str">
        <f t="shared" si="3"/>
        <v/>
      </c>
      <c r="G31" s="16"/>
    </row>
    <row r="32" ht="15.75" customHeight="1">
      <c r="A32" s="36"/>
      <c r="B32" s="45"/>
      <c r="C32" s="46"/>
      <c r="D32" s="45" t="str">
        <f t="shared" si="1"/>
        <v/>
      </c>
      <c r="E32" s="45" t="str">
        <f t="shared" si="2"/>
        <v/>
      </c>
      <c r="F32" s="15" t="str">
        <f t="shared" si="3"/>
        <v/>
      </c>
      <c r="G32" s="16"/>
    </row>
    <row r="33" ht="15.75" customHeight="1">
      <c r="A33" s="36"/>
      <c r="B33" s="45"/>
      <c r="C33" s="46"/>
      <c r="D33" s="45" t="str">
        <f t="shared" si="1"/>
        <v/>
      </c>
      <c r="E33" s="45" t="str">
        <f t="shared" si="2"/>
        <v/>
      </c>
      <c r="F33" s="15" t="str">
        <f t="shared" si="3"/>
        <v/>
      </c>
      <c r="G33" s="16"/>
    </row>
    <row r="34" ht="15.75" customHeight="1">
      <c r="A34" s="36"/>
      <c r="B34" s="45"/>
      <c r="C34" s="46"/>
      <c r="D34" s="45" t="str">
        <f t="shared" si="1"/>
        <v/>
      </c>
      <c r="E34" s="45" t="str">
        <f t="shared" si="2"/>
        <v/>
      </c>
      <c r="F34" s="15" t="str">
        <f t="shared" si="3"/>
        <v/>
      </c>
      <c r="G34" s="16"/>
    </row>
    <row r="35" ht="15.75" customHeight="1">
      <c r="A35" s="36"/>
      <c r="B35" s="45"/>
      <c r="C35" s="46"/>
      <c r="D35" s="45" t="str">
        <f t="shared" si="1"/>
        <v/>
      </c>
      <c r="E35" s="45" t="str">
        <f t="shared" si="2"/>
        <v/>
      </c>
      <c r="F35" s="15" t="str">
        <f t="shared" si="3"/>
        <v/>
      </c>
      <c r="G35" s="16"/>
    </row>
    <row r="36" ht="15.75" customHeight="1">
      <c r="A36" s="36"/>
      <c r="B36" s="45"/>
      <c r="C36" s="46"/>
      <c r="D36" s="45" t="str">
        <f t="shared" si="1"/>
        <v/>
      </c>
      <c r="E36" s="45" t="str">
        <f t="shared" si="2"/>
        <v/>
      </c>
      <c r="F36" s="15" t="str">
        <f t="shared" si="3"/>
        <v/>
      </c>
      <c r="G36" s="16"/>
    </row>
    <row r="37" ht="15.75" customHeight="1">
      <c r="A37" s="36"/>
      <c r="B37" s="45"/>
      <c r="C37" s="46"/>
      <c r="D37" s="45" t="str">
        <f t="shared" si="1"/>
        <v/>
      </c>
      <c r="E37" s="45" t="str">
        <f t="shared" si="2"/>
        <v/>
      </c>
      <c r="F37" s="15" t="str">
        <f t="shared" si="3"/>
        <v/>
      </c>
      <c r="G37" s="16"/>
    </row>
    <row r="38" ht="15.75" customHeight="1">
      <c r="A38" s="36"/>
      <c r="B38" s="45"/>
      <c r="C38" s="46"/>
      <c r="D38" s="45" t="str">
        <f t="shared" si="1"/>
        <v/>
      </c>
      <c r="E38" s="45" t="str">
        <f t="shared" si="2"/>
        <v/>
      </c>
      <c r="F38" s="15" t="str">
        <f t="shared" si="3"/>
        <v/>
      </c>
      <c r="G38" s="16"/>
    </row>
    <row r="39" ht="15.75" customHeight="1">
      <c r="A39" s="36"/>
      <c r="B39" s="45"/>
      <c r="C39" s="46"/>
      <c r="D39" s="45" t="str">
        <f t="shared" si="1"/>
        <v/>
      </c>
      <c r="E39" s="45" t="str">
        <f t="shared" si="2"/>
        <v/>
      </c>
      <c r="F39" s="15" t="str">
        <f t="shared" si="3"/>
        <v/>
      </c>
      <c r="G39" s="16"/>
    </row>
    <row r="40" ht="15.75" customHeight="1">
      <c r="A40" s="36"/>
      <c r="B40" s="45"/>
      <c r="C40" s="46"/>
      <c r="D40" s="45" t="str">
        <f t="shared" si="1"/>
        <v/>
      </c>
      <c r="E40" s="45" t="str">
        <f t="shared" si="2"/>
        <v/>
      </c>
      <c r="F40" s="15" t="str">
        <f t="shared" si="3"/>
        <v/>
      </c>
      <c r="G40" s="16"/>
    </row>
    <row r="41" ht="15.75" customHeight="1">
      <c r="A41" s="36"/>
      <c r="B41" s="45"/>
      <c r="C41" s="46"/>
      <c r="D41" s="45" t="str">
        <f t="shared" si="1"/>
        <v/>
      </c>
      <c r="E41" s="45" t="str">
        <f t="shared" si="2"/>
        <v/>
      </c>
      <c r="F41" s="15" t="str">
        <f t="shared" si="3"/>
        <v/>
      </c>
      <c r="G41" s="16"/>
    </row>
    <row r="42" ht="15.75" customHeight="1">
      <c r="A42" s="36"/>
      <c r="B42" s="45"/>
      <c r="C42" s="46"/>
      <c r="D42" s="45" t="str">
        <f t="shared" si="1"/>
        <v/>
      </c>
      <c r="E42" s="45" t="str">
        <f t="shared" si="2"/>
        <v/>
      </c>
      <c r="F42" s="15" t="str">
        <f t="shared" si="3"/>
        <v/>
      </c>
      <c r="G42" s="16"/>
    </row>
    <row r="43" ht="15.75" customHeight="1">
      <c r="A43" s="36"/>
      <c r="B43" s="45"/>
      <c r="C43" s="46"/>
      <c r="D43" s="45" t="str">
        <f t="shared" si="1"/>
        <v/>
      </c>
      <c r="E43" s="45" t="str">
        <f t="shared" si="2"/>
        <v/>
      </c>
      <c r="F43" s="15" t="str">
        <f t="shared" si="3"/>
        <v/>
      </c>
      <c r="G43" s="16"/>
    </row>
    <row r="44" ht="15.75" customHeight="1">
      <c r="A44" s="36"/>
      <c r="B44" s="45"/>
      <c r="C44" s="46"/>
      <c r="D44" s="45" t="str">
        <f t="shared" si="1"/>
        <v/>
      </c>
      <c r="E44" s="45" t="str">
        <f t="shared" si="2"/>
        <v/>
      </c>
      <c r="F44" s="15" t="str">
        <f t="shared" si="3"/>
        <v/>
      </c>
      <c r="G44" s="16"/>
    </row>
    <row r="45" ht="15.75" customHeight="1">
      <c r="A45" s="36"/>
      <c r="B45" s="45"/>
      <c r="C45" s="46"/>
      <c r="D45" s="45" t="str">
        <f t="shared" si="1"/>
        <v/>
      </c>
      <c r="E45" s="45" t="str">
        <f t="shared" si="2"/>
        <v/>
      </c>
      <c r="F45" s="15" t="str">
        <f t="shared" si="3"/>
        <v/>
      </c>
      <c r="G45" s="16"/>
    </row>
    <row r="46" ht="15.75" customHeight="1">
      <c r="A46" s="36"/>
      <c r="B46" s="45"/>
      <c r="C46" s="46"/>
      <c r="D46" s="45" t="str">
        <f t="shared" si="1"/>
        <v/>
      </c>
      <c r="E46" s="45" t="str">
        <f t="shared" si="2"/>
        <v/>
      </c>
      <c r="F46" s="15" t="str">
        <f t="shared" si="3"/>
        <v/>
      </c>
      <c r="G46" s="16"/>
    </row>
    <row r="47" ht="15.75" customHeight="1">
      <c r="A47" s="36"/>
      <c r="B47" s="45"/>
      <c r="C47" s="46"/>
      <c r="D47" s="45" t="str">
        <f t="shared" si="1"/>
        <v/>
      </c>
      <c r="E47" s="45" t="str">
        <f t="shared" si="2"/>
        <v/>
      </c>
      <c r="F47" s="15" t="str">
        <f t="shared" si="3"/>
        <v/>
      </c>
      <c r="G47" s="16"/>
    </row>
    <row r="48" ht="15.75" customHeight="1">
      <c r="A48" s="36"/>
      <c r="B48" s="45"/>
      <c r="C48" s="46"/>
      <c r="D48" s="45" t="str">
        <f t="shared" si="1"/>
        <v/>
      </c>
      <c r="E48" s="45" t="str">
        <f t="shared" si="2"/>
        <v/>
      </c>
      <c r="F48" s="15" t="str">
        <f t="shared" si="3"/>
        <v/>
      </c>
      <c r="G48" s="16"/>
    </row>
    <row r="49" ht="15.75" customHeight="1">
      <c r="A49" s="36"/>
      <c r="B49" s="45"/>
      <c r="C49" s="46"/>
      <c r="D49" s="45" t="str">
        <f t="shared" si="1"/>
        <v/>
      </c>
      <c r="E49" s="45" t="str">
        <f t="shared" si="2"/>
        <v/>
      </c>
      <c r="F49" s="15" t="str">
        <f t="shared" si="3"/>
        <v/>
      </c>
      <c r="G49" s="16"/>
    </row>
    <row r="50" ht="15.75" customHeight="1">
      <c r="A50" s="36"/>
      <c r="B50" s="45"/>
      <c r="C50" s="46"/>
      <c r="D50" s="45" t="str">
        <f t="shared" si="1"/>
        <v/>
      </c>
      <c r="E50" s="45" t="str">
        <f t="shared" si="2"/>
        <v/>
      </c>
      <c r="F50" s="15" t="str">
        <f t="shared" si="3"/>
        <v/>
      </c>
      <c r="G50" s="16"/>
    </row>
    <row r="51" ht="15.75" customHeight="1">
      <c r="A51" s="36"/>
      <c r="B51" s="45"/>
      <c r="C51" s="46"/>
      <c r="D51" s="45" t="str">
        <f t="shared" si="1"/>
        <v/>
      </c>
      <c r="E51" s="45" t="str">
        <f t="shared" si="2"/>
        <v/>
      </c>
      <c r="F51" s="15" t="str">
        <f t="shared" si="3"/>
        <v/>
      </c>
      <c r="G51" s="16"/>
    </row>
    <row r="52" ht="15.75" customHeight="1">
      <c r="A52" s="36"/>
      <c r="B52" s="45"/>
      <c r="C52" s="46"/>
      <c r="D52" s="45" t="str">
        <f t="shared" si="1"/>
        <v/>
      </c>
      <c r="E52" s="45" t="str">
        <f t="shared" si="2"/>
        <v/>
      </c>
      <c r="F52" s="15" t="str">
        <f t="shared" si="3"/>
        <v/>
      </c>
      <c r="G52" s="16"/>
    </row>
    <row r="53" ht="15.75" customHeight="1">
      <c r="A53" s="36"/>
      <c r="B53" s="45"/>
      <c r="C53" s="46"/>
      <c r="D53" s="45" t="str">
        <f t="shared" si="1"/>
        <v/>
      </c>
      <c r="E53" s="45" t="str">
        <f t="shared" si="2"/>
        <v/>
      </c>
      <c r="F53" s="15" t="str">
        <f t="shared" si="3"/>
        <v/>
      </c>
      <c r="G53" s="16"/>
    </row>
    <row r="54" ht="15.75" customHeight="1">
      <c r="A54" s="36"/>
      <c r="B54" s="45"/>
      <c r="C54" s="46"/>
      <c r="D54" s="45" t="str">
        <f t="shared" si="1"/>
        <v/>
      </c>
      <c r="E54" s="45" t="str">
        <f t="shared" si="2"/>
        <v/>
      </c>
      <c r="F54" s="15" t="str">
        <f t="shared" si="3"/>
        <v/>
      </c>
      <c r="G54" s="16"/>
    </row>
    <row r="55" ht="15.75" customHeight="1">
      <c r="A55" s="36"/>
      <c r="B55" s="45"/>
      <c r="C55" s="46"/>
      <c r="D55" s="45" t="str">
        <f t="shared" si="1"/>
        <v/>
      </c>
      <c r="E55" s="45" t="str">
        <f t="shared" si="2"/>
        <v/>
      </c>
      <c r="F55" s="15" t="str">
        <f t="shared" si="3"/>
        <v/>
      </c>
      <c r="G55" s="16"/>
    </row>
    <row r="56" ht="15.75" customHeight="1">
      <c r="A56" s="36"/>
      <c r="B56" s="45"/>
      <c r="C56" s="46"/>
      <c r="D56" s="45" t="str">
        <f t="shared" si="1"/>
        <v/>
      </c>
      <c r="E56" s="45" t="str">
        <f t="shared" si="2"/>
        <v/>
      </c>
      <c r="F56" s="15" t="str">
        <f t="shared" si="3"/>
        <v/>
      </c>
      <c r="G56" s="16"/>
    </row>
    <row r="57" ht="15.75" customHeight="1">
      <c r="A57" s="36"/>
      <c r="B57" s="45"/>
      <c r="C57" s="46"/>
      <c r="D57" s="45" t="str">
        <f t="shared" si="1"/>
        <v/>
      </c>
      <c r="E57" s="45" t="str">
        <f t="shared" si="2"/>
        <v/>
      </c>
      <c r="F57" s="15" t="str">
        <f t="shared" si="3"/>
        <v/>
      </c>
      <c r="G57" s="16"/>
    </row>
    <row r="58" ht="15.75" customHeight="1">
      <c r="A58" s="36"/>
      <c r="B58" s="45"/>
      <c r="C58" s="46"/>
      <c r="D58" s="45" t="str">
        <f t="shared" si="1"/>
        <v/>
      </c>
      <c r="E58" s="45" t="str">
        <f t="shared" si="2"/>
        <v/>
      </c>
      <c r="F58" s="15" t="str">
        <f t="shared" si="3"/>
        <v/>
      </c>
      <c r="G58" s="16"/>
    </row>
    <row r="59" ht="15.75" customHeight="1">
      <c r="A59" s="36"/>
      <c r="B59" s="45"/>
      <c r="C59" s="46"/>
      <c r="D59" s="45" t="str">
        <f t="shared" si="1"/>
        <v/>
      </c>
      <c r="E59" s="45" t="str">
        <f t="shared" si="2"/>
        <v/>
      </c>
      <c r="F59" s="15" t="str">
        <f t="shared" si="3"/>
        <v/>
      </c>
      <c r="G59" s="16"/>
    </row>
    <row r="60" ht="15.75" customHeight="1">
      <c r="A60" s="36"/>
      <c r="B60" s="45"/>
      <c r="C60" s="46"/>
      <c r="D60" s="45" t="str">
        <f t="shared" si="1"/>
        <v/>
      </c>
      <c r="E60" s="45" t="str">
        <f t="shared" si="2"/>
        <v/>
      </c>
      <c r="F60" s="15" t="str">
        <f t="shared" si="3"/>
        <v/>
      </c>
      <c r="G60" s="16"/>
    </row>
    <row r="61" ht="15.75" customHeight="1">
      <c r="A61" s="36"/>
      <c r="B61" s="45"/>
      <c r="C61" s="46"/>
      <c r="D61" s="45" t="str">
        <f t="shared" si="1"/>
        <v/>
      </c>
      <c r="E61" s="45" t="str">
        <f t="shared" si="2"/>
        <v/>
      </c>
      <c r="F61" s="15" t="str">
        <f t="shared" si="3"/>
        <v/>
      </c>
      <c r="G61" s="16"/>
    </row>
    <row r="62" ht="15.75" customHeight="1">
      <c r="A62" s="36"/>
      <c r="B62" s="45"/>
      <c r="C62" s="46"/>
      <c r="D62" s="45" t="str">
        <f t="shared" si="1"/>
        <v/>
      </c>
      <c r="E62" s="45" t="str">
        <f t="shared" si="2"/>
        <v/>
      </c>
      <c r="F62" s="15" t="str">
        <f t="shared" si="3"/>
        <v/>
      </c>
      <c r="G62" s="16"/>
    </row>
    <row r="63" ht="15.75" customHeight="1">
      <c r="A63" s="36"/>
      <c r="B63" s="45"/>
      <c r="C63" s="46"/>
      <c r="D63" s="45" t="str">
        <f t="shared" si="1"/>
        <v/>
      </c>
      <c r="E63" s="45" t="str">
        <f t="shared" si="2"/>
        <v/>
      </c>
      <c r="F63" s="15" t="str">
        <f t="shared" si="3"/>
        <v/>
      </c>
      <c r="G63" s="16"/>
    </row>
    <row r="64" ht="15.75" customHeight="1">
      <c r="A64" s="36"/>
      <c r="B64" s="45"/>
      <c r="C64" s="46"/>
      <c r="D64" s="45" t="str">
        <f t="shared" si="1"/>
        <v/>
      </c>
      <c r="E64" s="45" t="str">
        <f t="shared" si="2"/>
        <v/>
      </c>
      <c r="F64" s="15" t="str">
        <f t="shared" si="3"/>
        <v/>
      </c>
      <c r="G64" s="16"/>
    </row>
    <row r="65" ht="15.75" customHeight="1">
      <c r="A65" s="36"/>
      <c r="B65" s="45"/>
      <c r="C65" s="46"/>
      <c r="D65" s="45" t="str">
        <f t="shared" si="1"/>
        <v/>
      </c>
      <c r="E65" s="45" t="str">
        <f t="shared" si="2"/>
        <v/>
      </c>
      <c r="F65" s="15" t="str">
        <f t="shared" si="3"/>
        <v/>
      </c>
      <c r="G65" s="16"/>
    </row>
    <row r="66" ht="15.75" customHeight="1">
      <c r="A66" s="36"/>
      <c r="B66" s="45"/>
      <c r="C66" s="46"/>
      <c r="D66" s="45" t="str">
        <f t="shared" si="1"/>
        <v/>
      </c>
      <c r="E66" s="45" t="str">
        <f t="shared" si="2"/>
        <v/>
      </c>
      <c r="F66" s="15" t="str">
        <f t="shared" si="3"/>
        <v/>
      </c>
      <c r="G66" s="16"/>
    </row>
    <row r="67" ht="15.75" customHeight="1">
      <c r="A67" s="36"/>
      <c r="B67" s="45"/>
      <c r="C67" s="46"/>
      <c r="D67" s="45" t="str">
        <f t="shared" si="1"/>
        <v/>
      </c>
      <c r="E67" s="45" t="str">
        <f t="shared" si="2"/>
        <v/>
      </c>
      <c r="F67" s="15" t="str">
        <f t="shared" si="3"/>
        <v/>
      </c>
      <c r="G67" s="16"/>
    </row>
    <row r="68" ht="15.75" customHeight="1">
      <c r="A68" s="36"/>
      <c r="B68" s="45"/>
      <c r="C68" s="46"/>
      <c r="D68" s="45" t="str">
        <f t="shared" si="1"/>
        <v/>
      </c>
      <c r="E68" s="45" t="str">
        <f t="shared" si="2"/>
        <v/>
      </c>
      <c r="F68" s="15" t="str">
        <f t="shared" si="3"/>
        <v/>
      </c>
      <c r="G68" s="16"/>
    </row>
    <row r="69" ht="15.75" customHeight="1">
      <c r="A69" s="36"/>
      <c r="B69" s="45"/>
      <c r="C69" s="46"/>
      <c r="D69" s="45" t="str">
        <f t="shared" si="1"/>
        <v/>
      </c>
      <c r="E69" s="45" t="str">
        <f t="shared" si="2"/>
        <v/>
      </c>
      <c r="F69" s="15" t="str">
        <f t="shared" si="3"/>
        <v/>
      </c>
      <c r="G69" s="16"/>
    </row>
    <row r="70" ht="15.75" customHeight="1">
      <c r="A70" s="36"/>
      <c r="B70" s="45"/>
      <c r="C70" s="46"/>
      <c r="D70" s="45" t="str">
        <f t="shared" si="1"/>
        <v/>
      </c>
      <c r="E70" s="45" t="str">
        <f t="shared" si="2"/>
        <v/>
      </c>
      <c r="F70" s="15" t="str">
        <f t="shared" si="3"/>
        <v/>
      </c>
      <c r="G70" s="16"/>
    </row>
    <row r="71" ht="15.75" customHeight="1">
      <c r="A71" s="36"/>
      <c r="B71" s="45"/>
      <c r="C71" s="46"/>
      <c r="D71" s="45" t="str">
        <f t="shared" si="1"/>
        <v/>
      </c>
      <c r="E71" s="45" t="str">
        <f t="shared" si="2"/>
        <v/>
      </c>
      <c r="F71" s="15" t="str">
        <f t="shared" si="3"/>
        <v/>
      </c>
      <c r="G71" s="16"/>
    </row>
    <row r="72" ht="15.75" customHeight="1">
      <c r="A72" s="36"/>
      <c r="B72" s="45"/>
      <c r="C72" s="46"/>
      <c r="D72" s="45" t="str">
        <f t="shared" si="1"/>
        <v/>
      </c>
      <c r="E72" s="45" t="str">
        <f t="shared" si="2"/>
        <v/>
      </c>
      <c r="F72" s="15" t="str">
        <f t="shared" si="3"/>
        <v/>
      </c>
      <c r="G72" s="16"/>
    </row>
    <row r="73" ht="15.75" customHeight="1">
      <c r="A73" s="36"/>
      <c r="B73" s="45"/>
      <c r="C73" s="46"/>
      <c r="D73" s="45" t="str">
        <f t="shared" si="1"/>
        <v/>
      </c>
      <c r="E73" s="45" t="str">
        <f t="shared" si="2"/>
        <v/>
      </c>
      <c r="F73" s="15" t="str">
        <f t="shared" si="3"/>
        <v/>
      </c>
      <c r="G73" s="16"/>
    </row>
    <row r="74" ht="15.75" customHeight="1">
      <c r="A74" s="36"/>
      <c r="B74" s="45"/>
      <c r="C74" s="46"/>
      <c r="D74" s="45" t="str">
        <f t="shared" si="1"/>
        <v/>
      </c>
      <c r="E74" s="45" t="str">
        <f t="shared" si="2"/>
        <v/>
      </c>
      <c r="F74" s="15" t="str">
        <f t="shared" si="3"/>
        <v/>
      </c>
      <c r="G74" s="16"/>
    </row>
    <row r="75" ht="15.75" customHeight="1">
      <c r="A75" s="36"/>
      <c r="B75" s="45"/>
      <c r="C75" s="46"/>
      <c r="D75" s="45" t="str">
        <f t="shared" si="1"/>
        <v/>
      </c>
      <c r="E75" s="45" t="str">
        <f t="shared" si="2"/>
        <v/>
      </c>
      <c r="F75" s="15" t="str">
        <f t="shared" si="3"/>
        <v/>
      </c>
      <c r="G75" s="16"/>
    </row>
    <row r="76" ht="15.75" customHeight="1">
      <c r="A76" s="36"/>
      <c r="B76" s="45"/>
      <c r="C76" s="46"/>
      <c r="D76" s="45" t="str">
        <f t="shared" si="1"/>
        <v/>
      </c>
      <c r="E76" s="45" t="str">
        <f t="shared" si="2"/>
        <v/>
      </c>
      <c r="F76" s="15" t="str">
        <f t="shared" si="3"/>
        <v/>
      </c>
      <c r="G76" s="16"/>
    </row>
    <row r="77" ht="15.75" customHeight="1">
      <c r="A77" s="36"/>
      <c r="B77" s="45"/>
      <c r="C77" s="46"/>
      <c r="D77" s="45" t="str">
        <f t="shared" si="1"/>
        <v/>
      </c>
      <c r="E77" s="45" t="str">
        <f t="shared" si="2"/>
        <v/>
      </c>
      <c r="F77" s="15" t="str">
        <f t="shared" si="3"/>
        <v/>
      </c>
      <c r="G77" s="16"/>
    </row>
    <row r="78" ht="15.75" customHeight="1">
      <c r="A78" s="36"/>
      <c r="B78" s="45"/>
      <c r="C78" s="46"/>
      <c r="D78" s="45" t="str">
        <f t="shared" si="1"/>
        <v/>
      </c>
      <c r="E78" s="45" t="str">
        <f t="shared" si="2"/>
        <v/>
      </c>
      <c r="F78" s="15" t="str">
        <f t="shared" si="3"/>
        <v/>
      </c>
      <c r="G78" s="16"/>
    </row>
    <row r="79" ht="15.75" customHeight="1">
      <c r="A79" s="36"/>
      <c r="B79" s="45"/>
      <c r="C79" s="46"/>
      <c r="D79" s="45" t="str">
        <f t="shared" si="1"/>
        <v/>
      </c>
      <c r="E79" s="45" t="str">
        <f t="shared" si="2"/>
        <v/>
      </c>
      <c r="F79" s="15" t="str">
        <f t="shared" si="3"/>
        <v/>
      </c>
      <c r="G79" s="16"/>
    </row>
    <row r="80" ht="15.75" customHeight="1">
      <c r="A80" s="36"/>
      <c r="B80" s="45"/>
      <c r="C80" s="46"/>
      <c r="D80" s="45" t="str">
        <f t="shared" si="1"/>
        <v/>
      </c>
      <c r="E80" s="45" t="str">
        <f t="shared" si="2"/>
        <v/>
      </c>
      <c r="F80" s="15" t="str">
        <f t="shared" si="3"/>
        <v/>
      </c>
      <c r="G80" s="16"/>
    </row>
    <row r="81" ht="15.75" customHeight="1">
      <c r="A81" s="36"/>
      <c r="B81" s="45"/>
      <c r="C81" s="46"/>
      <c r="D81" s="45" t="str">
        <f t="shared" si="1"/>
        <v/>
      </c>
      <c r="E81" s="45" t="str">
        <f t="shared" si="2"/>
        <v/>
      </c>
      <c r="F81" s="15" t="str">
        <f t="shared" si="3"/>
        <v/>
      </c>
      <c r="G81" s="16"/>
    </row>
    <row r="82" ht="15.75" customHeight="1">
      <c r="A82" s="36"/>
      <c r="B82" s="45"/>
      <c r="C82" s="46"/>
      <c r="D82" s="45" t="str">
        <f t="shared" si="1"/>
        <v/>
      </c>
      <c r="E82" s="45" t="str">
        <f t="shared" si="2"/>
        <v/>
      </c>
      <c r="F82" s="15" t="str">
        <f t="shared" si="3"/>
        <v/>
      </c>
      <c r="G82" s="16"/>
    </row>
    <row r="83" ht="15.75" customHeight="1">
      <c r="A83" s="36"/>
      <c r="B83" s="45"/>
      <c r="C83" s="46"/>
      <c r="D83" s="45" t="str">
        <f t="shared" si="1"/>
        <v/>
      </c>
      <c r="E83" s="45" t="str">
        <f t="shared" si="2"/>
        <v/>
      </c>
      <c r="F83" s="15" t="str">
        <f t="shared" si="3"/>
        <v/>
      </c>
      <c r="G83" s="16"/>
    </row>
    <row r="84" ht="15.75" customHeight="1">
      <c r="A84" s="36"/>
      <c r="B84" s="45"/>
      <c r="C84" s="46"/>
      <c r="D84" s="45" t="str">
        <f t="shared" si="1"/>
        <v/>
      </c>
      <c r="E84" s="45" t="str">
        <f t="shared" si="2"/>
        <v/>
      </c>
      <c r="F84" s="15" t="str">
        <f t="shared" si="3"/>
        <v/>
      </c>
      <c r="G84" s="16"/>
    </row>
    <row r="85" ht="15.75" customHeight="1">
      <c r="A85" s="36"/>
      <c r="B85" s="45"/>
      <c r="C85" s="46"/>
      <c r="D85" s="45" t="str">
        <f t="shared" si="1"/>
        <v/>
      </c>
      <c r="E85" s="45" t="str">
        <f t="shared" si="2"/>
        <v/>
      </c>
      <c r="F85" s="15" t="str">
        <f t="shared" si="3"/>
        <v/>
      </c>
      <c r="G85" s="16"/>
    </row>
    <row r="86" ht="15.75" customHeight="1">
      <c r="A86" s="36"/>
      <c r="B86" s="45"/>
      <c r="C86" s="46"/>
      <c r="D86" s="45" t="str">
        <f t="shared" si="1"/>
        <v/>
      </c>
      <c r="E86" s="45" t="str">
        <f t="shared" si="2"/>
        <v/>
      </c>
      <c r="F86" s="15" t="str">
        <f t="shared" si="3"/>
        <v/>
      </c>
      <c r="G86" s="16"/>
    </row>
    <row r="87" ht="15.75" customHeight="1">
      <c r="A87" s="36"/>
      <c r="B87" s="45"/>
      <c r="C87" s="46"/>
      <c r="D87" s="45" t="str">
        <f t="shared" si="1"/>
        <v/>
      </c>
      <c r="E87" s="45" t="str">
        <f t="shared" si="2"/>
        <v/>
      </c>
      <c r="F87" s="15" t="str">
        <f t="shared" si="3"/>
        <v/>
      </c>
      <c r="G87" s="16"/>
    </row>
    <row r="88" ht="15.75" customHeight="1">
      <c r="A88" s="36"/>
      <c r="B88" s="45"/>
      <c r="C88" s="46"/>
      <c r="D88" s="45" t="str">
        <f t="shared" si="1"/>
        <v/>
      </c>
      <c r="E88" s="45" t="str">
        <f t="shared" si="2"/>
        <v/>
      </c>
      <c r="F88" s="15" t="str">
        <f t="shared" si="3"/>
        <v/>
      </c>
      <c r="G88" s="16"/>
    </row>
    <row r="89" ht="15.75" customHeight="1">
      <c r="A89" s="36"/>
      <c r="B89" s="45"/>
      <c r="C89" s="46"/>
      <c r="D89" s="45" t="str">
        <f t="shared" si="1"/>
        <v/>
      </c>
      <c r="E89" s="45" t="str">
        <f t="shared" si="2"/>
        <v/>
      </c>
      <c r="F89" s="15" t="str">
        <f t="shared" si="3"/>
        <v/>
      </c>
      <c r="G89" s="16"/>
    </row>
    <row r="90" ht="15.75" customHeight="1">
      <c r="A90" s="36"/>
      <c r="B90" s="45"/>
      <c r="C90" s="46"/>
      <c r="D90" s="45" t="str">
        <f t="shared" si="1"/>
        <v/>
      </c>
      <c r="E90" s="45" t="str">
        <f t="shared" si="2"/>
        <v/>
      </c>
      <c r="F90" s="15" t="str">
        <f t="shared" si="3"/>
        <v/>
      </c>
      <c r="G90" s="16"/>
    </row>
    <row r="91" ht="15.75" customHeight="1">
      <c r="A91" s="36"/>
      <c r="B91" s="45"/>
      <c r="C91" s="46"/>
      <c r="D91" s="45" t="str">
        <f t="shared" si="1"/>
        <v/>
      </c>
      <c r="E91" s="45" t="str">
        <f t="shared" si="2"/>
        <v/>
      </c>
      <c r="F91" s="15" t="str">
        <f t="shared" si="3"/>
        <v/>
      </c>
      <c r="G91" s="16"/>
    </row>
    <row r="92" ht="15.75" customHeight="1">
      <c r="A92" s="36"/>
      <c r="B92" s="45"/>
      <c r="C92" s="46"/>
      <c r="D92" s="45" t="str">
        <f t="shared" si="1"/>
        <v/>
      </c>
      <c r="E92" s="45" t="str">
        <f t="shared" si="2"/>
        <v/>
      </c>
      <c r="F92" s="15" t="str">
        <f t="shared" si="3"/>
        <v/>
      </c>
      <c r="G92" s="16"/>
    </row>
    <row r="93" ht="15.75" customHeight="1">
      <c r="A93" s="36"/>
      <c r="B93" s="45"/>
      <c r="C93" s="46"/>
      <c r="D93" s="45" t="str">
        <f t="shared" si="1"/>
        <v/>
      </c>
      <c r="E93" s="45" t="str">
        <f t="shared" si="2"/>
        <v/>
      </c>
      <c r="F93" s="15" t="str">
        <f t="shared" si="3"/>
        <v/>
      </c>
      <c r="G93" s="16"/>
    </row>
    <row r="94" ht="15.75" customHeight="1">
      <c r="A94" s="36"/>
      <c r="B94" s="45"/>
      <c r="C94" s="46"/>
      <c r="D94" s="45" t="str">
        <f t="shared" si="1"/>
        <v/>
      </c>
      <c r="E94" s="45" t="str">
        <f t="shared" si="2"/>
        <v/>
      </c>
      <c r="F94" s="15" t="str">
        <f t="shared" si="3"/>
        <v/>
      </c>
      <c r="G94" s="16"/>
    </row>
    <row r="95" ht="15.75" customHeight="1">
      <c r="A95" s="36"/>
      <c r="B95" s="45"/>
      <c r="C95" s="46"/>
      <c r="D95" s="45" t="str">
        <f t="shared" si="1"/>
        <v/>
      </c>
      <c r="E95" s="45" t="str">
        <f t="shared" si="2"/>
        <v/>
      </c>
      <c r="F95" s="15" t="str">
        <f t="shared" si="3"/>
        <v/>
      </c>
      <c r="G95" s="16"/>
    </row>
    <row r="96" ht="15.75" customHeight="1">
      <c r="A96" s="36"/>
      <c r="B96" s="45"/>
      <c r="C96" s="46"/>
      <c r="D96" s="45" t="str">
        <f t="shared" si="1"/>
        <v/>
      </c>
      <c r="E96" s="45" t="str">
        <f t="shared" si="2"/>
        <v/>
      </c>
      <c r="F96" s="15" t="str">
        <f t="shared" si="3"/>
        <v/>
      </c>
      <c r="G96" s="16"/>
    </row>
    <row r="97" ht="15.75" customHeight="1">
      <c r="A97" s="36"/>
      <c r="B97" s="45"/>
      <c r="C97" s="46"/>
      <c r="D97" s="45" t="str">
        <f t="shared" si="1"/>
        <v/>
      </c>
      <c r="E97" s="45" t="str">
        <f t="shared" si="2"/>
        <v/>
      </c>
      <c r="F97" s="15" t="str">
        <f t="shared" si="3"/>
        <v/>
      </c>
      <c r="G97" s="16"/>
    </row>
    <row r="98" ht="15.75" customHeight="1">
      <c r="A98" s="36"/>
      <c r="B98" s="45"/>
      <c r="C98" s="46"/>
      <c r="D98" s="45" t="str">
        <f t="shared" si="1"/>
        <v/>
      </c>
      <c r="E98" s="45" t="str">
        <f t="shared" si="2"/>
        <v/>
      </c>
      <c r="F98" s="15" t="str">
        <f t="shared" si="3"/>
        <v/>
      </c>
      <c r="G98" s="16"/>
    </row>
    <row r="99" ht="15.75" customHeight="1">
      <c r="A99" s="36"/>
      <c r="B99" s="45"/>
      <c r="C99" s="46"/>
      <c r="D99" s="45" t="str">
        <f t="shared" si="1"/>
        <v/>
      </c>
      <c r="E99" s="45" t="str">
        <f t="shared" si="2"/>
        <v/>
      </c>
      <c r="F99" s="15" t="str">
        <f t="shared" si="3"/>
        <v/>
      </c>
      <c r="G99" s="16"/>
    </row>
    <row r="100" ht="15.75" customHeight="1">
      <c r="A100" s="36"/>
      <c r="B100" s="45"/>
      <c r="C100" s="46"/>
      <c r="D100" s="45" t="str">
        <f t="shared" si="1"/>
        <v/>
      </c>
      <c r="E100" s="45" t="str">
        <f t="shared" si="2"/>
        <v/>
      </c>
      <c r="F100" s="15" t="str">
        <f t="shared" si="3"/>
        <v/>
      </c>
      <c r="G100" s="16"/>
    </row>
    <row r="101" ht="15.75" customHeight="1">
      <c r="A101" s="36"/>
      <c r="B101" s="45"/>
      <c r="C101" s="46"/>
      <c r="D101" s="45" t="str">
        <f t="shared" si="1"/>
        <v/>
      </c>
      <c r="E101" s="45" t="str">
        <f t="shared" si="2"/>
        <v/>
      </c>
      <c r="F101" s="15" t="str">
        <f t="shared" si="3"/>
        <v/>
      </c>
      <c r="G101" s="16"/>
    </row>
    <row r="102" ht="15.75" customHeight="1">
      <c r="A102" s="36"/>
      <c r="B102" s="45"/>
      <c r="C102" s="46"/>
      <c r="D102" s="45" t="str">
        <f t="shared" si="1"/>
        <v/>
      </c>
      <c r="E102" s="45" t="str">
        <f t="shared" si="2"/>
        <v/>
      </c>
      <c r="F102" s="15" t="str">
        <f t="shared" si="3"/>
        <v/>
      </c>
      <c r="G102" s="16"/>
    </row>
    <row r="103" ht="15.75" customHeight="1">
      <c r="A103" s="36"/>
      <c r="B103" s="45"/>
      <c r="C103" s="46"/>
      <c r="D103" s="45" t="str">
        <f t="shared" si="1"/>
        <v/>
      </c>
      <c r="E103" s="45" t="str">
        <f t="shared" si="2"/>
        <v/>
      </c>
      <c r="F103" s="15" t="str">
        <f t="shared" si="3"/>
        <v/>
      </c>
      <c r="G103" s="16"/>
    </row>
    <row r="104" ht="15.75" customHeight="1">
      <c r="A104" s="36"/>
      <c r="B104" s="45"/>
      <c r="C104" s="46"/>
      <c r="D104" s="45" t="str">
        <f t="shared" si="1"/>
        <v/>
      </c>
      <c r="E104" s="45" t="str">
        <f t="shared" si="2"/>
        <v/>
      </c>
      <c r="F104" s="15" t="str">
        <f t="shared" si="3"/>
        <v/>
      </c>
      <c r="G104" s="16"/>
    </row>
    <row r="105" ht="15.75" customHeight="1">
      <c r="A105" s="36"/>
      <c r="B105" s="45"/>
      <c r="C105" s="46"/>
      <c r="D105" s="45" t="str">
        <f t="shared" si="1"/>
        <v/>
      </c>
      <c r="E105" s="45" t="str">
        <f t="shared" si="2"/>
        <v/>
      </c>
      <c r="F105" s="15" t="str">
        <f t="shared" si="3"/>
        <v/>
      </c>
      <c r="G105" s="16"/>
    </row>
    <row r="106" ht="15.75" customHeight="1">
      <c r="A106" s="36"/>
      <c r="B106" s="45"/>
      <c r="C106" s="46"/>
      <c r="D106" s="45" t="str">
        <f t="shared" si="1"/>
        <v/>
      </c>
      <c r="E106" s="45" t="str">
        <f t="shared" si="2"/>
        <v/>
      </c>
      <c r="F106" s="15" t="str">
        <f t="shared" si="3"/>
        <v/>
      </c>
      <c r="G106" s="16"/>
    </row>
    <row r="107" ht="15.75" customHeight="1">
      <c r="A107" s="36"/>
      <c r="B107" s="45"/>
      <c r="C107" s="46"/>
      <c r="D107" s="45" t="str">
        <f t="shared" si="1"/>
        <v/>
      </c>
      <c r="E107" s="45" t="str">
        <f t="shared" si="2"/>
        <v/>
      </c>
      <c r="F107" s="15" t="str">
        <f t="shared" si="3"/>
        <v/>
      </c>
      <c r="G107" s="16"/>
    </row>
    <row r="108" ht="15.75" customHeight="1">
      <c r="A108" s="36"/>
      <c r="B108" s="45"/>
      <c r="C108" s="46"/>
      <c r="D108" s="45" t="str">
        <f t="shared" si="1"/>
        <v/>
      </c>
      <c r="E108" s="45" t="str">
        <f t="shared" si="2"/>
        <v/>
      </c>
      <c r="F108" s="15" t="str">
        <f t="shared" si="3"/>
        <v/>
      </c>
      <c r="G108" s="16"/>
    </row>
    <row r="109" ht="15.75" customHeight="1">
      <c r="A109" s="36"/>
      <c r="B109" s="45"/>
      <c r="C109" s="46"/>
      <c r="D109" s="45" t="str">
        <f t="shared" si="1"/>
        <v/>
      </c>
      <c r="E109" s="45" t="str">
        <f t="shared" si="2"/>
        <v/>
      </c>
      <c r="F109" s="15" t="str">
        <f t="shared" si="3"/>
        <v/>
      </c>
      <c r="G109" s="16"/>
    </row>
    <row r="110" ht="15.75" customHeight="1">
      <c r="A110" s="36"/>
      <c r="B110" s="45"/>
      <c r="C110" s="46"/>
      <c r="D110" s="45" t="str">
        <f t="shared" si="1"/>
        <v/>
      </c>
      <c r="E110" s="45" t="str">
        <f t="shared" si="2"/>
        <v/>
      </c>
      <c r="F110" s="15" t="str">
        <f t="shared" si="3"/>
        <v/>
      </c>
      <c r="G110" s="16"/>
    </row>
    <row r="111" ht="15.75" customHeight="1">
      <c r="A111" s="36"/>
      <c r="B111" s="45"/>
      <c r="C111" s="46"/>
      <c r="D111" s="45" t="str">
        <f t="shared" si="1"/>
        <v/>
      </c>
      <c r="E111" s="45" t="str">
        <f t="shared" si="2"/>
        <v/>
      </c>
      <c r="F111" s="15" t="str">
        <f t="shared" si="3"/>
        <v/>
      </c>
      <c r="G111" s="16"/>
    </row>
    <row r="112" ht="15.75" customHeight="1">
      <c r="A112" s="36"/>
      <c r="B112" s="45"/>
      <c r="C112" s="46"/>
      <c r="D112" s="45" t="str">
        <f t="shared" si="1"/>
        <v/>
      </c>
      <c r="E112" s="45" t="str">
        <f t="shared" si="2"/>
        <v/>
      </c>
      <c r="F112" s="15" t="str">
        <f t="shared" si="3"/>
        <v/>
      </c>
      <c r="G112" s="16"/>
    </row>
    <row r="113" ht="15.75" customHeight="1">
      <c r="A113" s="36"/>
      <c r="B113" s="45"/>
      <c r="C113" s="46"/>
      <c r="D113" s="45" t="str">
        <f t="shared" si="1"/>
        <v/>
      </c>
      <c r="E113" s="45" t="str">
        <f t="shared" si="2"/>
        <v/>
      </c>
      <c r="F113" s="15" t="str">
        <f t="shared" si="3"/>
        <v/>
      </c>
      <c r="G113" s="16"/>
    </row>
    <row r="114" ht="15.75" customHeight="1">
      <c r="A114" s="36"/>
      <c r="B114" s="45"/>
      <c r="C114" s="46"/>
      <c r="D114" s="45" t="str">
        <f t="shared" si="1"/>
        <v/>
      </c>
      <c r="E114" s="45" t="str">
        <f t="shared" si="2"/>
        <v/>
      </c>
      <c r="F114" s="15" t="str">
        <f t="shared" si="3"/>
        <v/>
      </c>
      <c r="G114" s="16"/>
    </row>
    <row r="115" ht="15.75" customHeight="1">
      <c r="A115" s="36"/>
      <c r="B115" s="45"/>
      <c r="C115" s="46"/>
      <c r="D115" s="45" t="str">
        <f t="shared" si="1"/>
        <v/>
      </c>
      <c r="E115" s="45" t="str">
        <f t="shared" si="2"/>
        <v/>
      </c>
      <c r="F115" s="15" t="str">
        <f t="shared" si="3"/>
        <v/>
      </c>
      <c r="G115" s="16"/>
    </row>
    <row r="116" ht="15.75" customHeight="1">
      <c r="A116" s="36"/>
      <c r="B116" s="45"/>
      <c r="C116" s="46"/>
      <c r="D116" s="45" t="str">
        <f t="shared" si="1"/>
        <v/>
      </c>
      <c r="E116" s="45" t="str">
        <f t="shared" si="2"/>
        <v/>
      </c>
      <c r="F116" s="15" t="str">
        <f t="shared" si="3"/>
        <v/>
      </c>
      <c r="G116" s="16"/>
    </row>
    <row r="117" ht="15.75" customHeight="1">
      <c r="A117" s="36"/>
      <c r="B117" s="45"/>
      <c r="C117" s="46"/>
      <c r="D117" s="45" t="str">
        <f t="shared" si="1"/>
        <v/>
      </c>
      <c r="E117" s="45" t="str">
        <f t="shared" si="2"/>
        <v/>
      </c>
      <c r="F117" s="15" t="str">
        <f t="shared" si="3"/>
        <v/>
      </c>
      <c r="G117" s="16"/>
    </row>
    <row r="118" ht="15.75" customHeight="1">
      <c r="A118" s="36"/>
      <c r="B118" s="45"/>
      <c r="C118" s="46"/>
      <c r="D118" s="45" t="str">
        <f t="shared" si="1"/>
        <v/>
      </c>
      <c r="E118" s="45" t="str">
        <f t="shared" si="2"/>
        <v/>
      </c>
      <c r="F118" s="15" t="str">
        <f t="shared" si="3"/>
        <v/>
      </c>
      <c r="G118" s="16"/>
    </row>
    <row r="119" ht="15.75" customHeight="1">
      <c r="A119" s="36"/>
      <c r="B119" s="45"/>
      <c r="C119" s="46"/>
      <c r="D119" s="45" t="str">
        <f t="shared" si="1"/>
        <v/>
      </c>
      <c r="E119" s="45" t="str">
        <f t="shared" si="2"/>
        <v/>
      </c>
      <c r="F119" s="15" t="str">
        <f t="shared" si="3"/>
        <v/>
      </c>
      <c r="G119" s="16"/>
    </row>
    <row r="120" ht="15.75" customHeight="1">
      <c r="A120" s="36"/>
      <c r="B120" s="45"/>
      <c r="C120" s="46"/>
      <c r="D120" s="45" t="str">
        <f t="shared" si="1"/>
        <v/>
      </c>
      <c r="E120" s="45" t="str">
        <f t="shared" si="2"/>
        <v/>
      </c>
      <c r="F120" s="15" t="str">
        <f t="shared" si="3"/>
        <v/>
      </c>
      <c r="G120" s="16"/>
    </row>
    <row r="121" ht="15.75" customHeight="1">
      <c r="A121" s="36"/>
      <c r="B121" s="45"/>
      <c r="C121" s="46"/>
      <c r="D121" s="45" t="str">
        <f t="shared" si="1"/>
        <v/>
      </c>
      <c r="E121" s="45" t="str">
        <f t="shared" si="2"/>
        <v/>
      </c>
      <c r="F121" s="15" t="str">
        <f t="shared" si="3"/>
        <v/>
      </c>
      <c r="G121" s="16"/>
    </row>
    <row r="122" ht="15.75" customHeight="1">
      <c r="A122" s="36"/>
      <c r="B122" s="45"/>
      <c r="C122" s="46"/>
      <c r="D122" s="45" t="str">
        <f t="shared" si="1"/>
        <v/>
      </c>
      <c r="E122" s="45" t="str">
        <f t="shared" si="2"/>
        <v/>
      </c>
      <c r="F122" s="15" t="str">
        <f t="shared" si="3"/>
        <v/>
      </c>
      <c r="G122" s="16"/>
    </row>
    <row r="123" ht="15.75" customHeight="1">
      <c r="A123" s="36"/>
      <c r="B123" s="45"/>
      <c r="C123" s="46"/>
      <c r="D123" s="45" t="str">
        <f t="shared" si="1"/>
        <v/>
      </c>
      <c r="E123" s="45" t="str">
        <f t="shared" si="2"/>
        <v/>
      </c>
      <c r="F123" s="15" t="str">
        <f t="shared" si="3"/>
        <v/>
      </c>
      <c r="G123" s="16"/>
    </row>
    <row r="124" ht="15.75" customHeight="1">
      <c r="A124" s="36"/>
      <c r="B124" s="45"/>
      <c r="C124" s="46"/>
      <c r="D124" s="45" t="str">
        <f t="shared" si="1"/>
        <v/>
      </c>
      <c r="E124" s="45" t="str">
        <f t="shared" si="2"/>
        <v/>
      </c>
      <c r="F124" s="15" t="str">
        <f t="shared" si="3"/>
        <v/>
      </c>
      <c r="G124" s="16"/>
    </row>
    <row r="125" ht="15.75" customHeight="1">
      <c r="A125" s="36"/>
      <c r="B125" s="45"/>
      <c r="C125" s="46"/>
      <c r="D125" s="45" t="str">
        <f t="shared" si="1"/>
        <v/>
      </c>
      <c r="E125" s="45" t="str">
        <f t="shared" si="2"/>
        <v/>
      </c>
      <c r="F125" s="15" t="str">
        <f t="shared" si="3"/>
        <v/>
      </c>
      <c r="G125" s="16"/>
    </row>
    <row r="126" ht="15.75" customHeight="1">
      <c r="A126" s="36"/>
      <c r="B126" s="45"/>
      <c r="C126" s="46"/>
      <c r="D126" s="45" t="str">
        <f t="shared" si="1"/>
        <v/>
      </c>
      <c r="E126" s="45" t="str">
        <f t="shared" si="2"/>
        <v/>
      </c>
      <c r="F126" s="15" t="str">
        <f t="shared" si="3"/>
        <v/>
      </c>
      <c r="G126" s="16"/>
    </row>
    <row r="127" ht="15.75" customHeight="1">
      <c r="A127" s="36"/>
      <c r="B127" s="45"/>
      <c r="C127" s="46"/>
      <c r="D127" s="45" t="str">
        <f t="shared" si="1"/>
        <v/>
      </c>
      <c r="E127" s="45" t="str">
        <f t="shared" si="2"/>
        <v/>
      </c>
      <c r="F127" s="15" t="str">
        <f t="shared" si="3"/>
        <v/>
      </c>
      <c r="G127" s="16"/>
    </row>
    <row r="128" ht="15.75" customHeight="1">
      <c r="A128" s="36"/>
      <c r="B128" s="45"/>
      <c r="C128" s="46"/>
      <c r="D128" s="45" t="str">
        <f t="shared" si="1"/>
        <v/>
      </c>
      <c r="E128" s="45" t="str">
        <f t="shared" si="2"/>
        <v/>
      </c>
      <c r="F128" s="15" t="str">
        <f t="shared" si="3"/>
        <v/>
      </c>
      <c r="G128" s="16"/>
    </row>
    <row r="129" ht="15.75" customHeight="1">
      <c r="A129" s="36"/>
      <c r="B129" s="45"/>
      <c r="C129" s="46"/>
      <c r="D129" s="45" t="str">
        <f t="shared" si="1"/>
        <v/>
      </c>
      <c r="E129" s="45" t="str">
        <f t="shared" si="2"/>
        <v/>
      </c>
      <c r="F129" s="15" t="str">
        <f t="shared" si="3"/>
        <v/>
      </c>
      <c r="G129" s="16"/>
    </row>
    <row r="130" ht="15.75" customHeight="1">
      <c r="A130" s="36"/>
      <c r="B130" s="45"/>
      <c r="C130" s="46"/>
      <c r="D130" s="45" t="str">
        <f t="shared" si="1"/>
        <v/>
      </c>
      <c r="E130" s="45" t="str">
        <f t="shared" si="2"/>
        <v/>
      </c>
      <c r="F130" s="15" t="str">
        <f t="shared" si="3"/>
        <v/>
      </c>
      <c r="G130" s="16"/>
    </row>
    <row r="131" ht="15.75" customHeight="1">
      <c r="A131" s="36"/>
      <c r="B131" s="45"/>
      <c r="C131" s="46"/>
      <c r="D131" s="45" t="str">
        <f t="shared" si="1"/>
        <v/>
      </c>
      <c r="E131" s="45" t="str">
        <f t="shared" si="2"/>
        <v/>
      </c>
      <c r="F131" s="15" t="str">
        <f t="shared" si="3"/>
        <v/>
      </c>
      <c r="G131" s="16"/>
    </row>
    <row r="132" ht="15.75" customHeight="1">
      <c r="A132" s="36"/>
      <c r="B132" s="45"/>
      <c r="C132" s="46"/>
      <c r="D132" s="45" t="str">
        <f t="shared" si="1"/>
        <v/>
      </c>
      <c r="E132" s="45" t="str">
        <f t="shared" si="2"/>
        <v/>
      </c>
      <c r="F132" s="15" t="str">
        <f t="shared" si="3"/>
        <v/>
      </c>
      <c r="G132" s="16"/>
    </row>
    <row r="133" ht="15.75" customHeight="1">
      <c r="A133" s="36"/>
      <c r="B133" s="45"/>
      <c r="C133" s="46"/>
      <c r="D133" s="45" t="str">
        <f t="shared" si="1"/>
        <v/>
      </c>
      <c r="E133" s="45" t="str">
        <f t="shared" si="2"/>
        <v/>
      </c>
      <c r="F133" s="15" t="str">
        <f t="shared" si="3"/>
        <v/>
      </c>
      <c r="G133" s="16"/>
    </row>
    <row r="134" ht="15.75" customHeight="1">
      <c r="A134" s="36"/>
      <c r="B134" s="45"/>
      <c r="C134" s="46"/>
      <c r="D134" s="45" t="str">
        <f t="shared" si="1"/>
        <v/>
      </c>
      <c r="E134" s="45" t="str">
        <f t="shared" si="2"/>
        <v/>
      </c>
      <c r="F134" s="15" t="str">
        <f t="shared" si="3"/>
        <v/>
      </c>
      <c r="G134" s="16"/>
    </row>
    <row r="135" ht="15.75" customHeight="1">
      <c r="A135" s="36"/>
      <c r="B135" s="45"/>
      <c r="C135" s="46"/>
      <c r="D135" s="45" t="str">
        <f t="shared" si="1"/>
        <v/>
      </c>
      <c r="E135" s="45" t="str">
        <f t="shared" si="2"/>
        <v/>
      </c>
      <c r="F135" s="15" t="str">
        <f t="shared" si="3"/>
        <v/>
      </c>
      <c r="G135" s="16"/>
    </row>
    <row r="136" ht="15.75" customHeight="1">
      <c r="A136" s="36"/>
      <c r="B136" s="45"/>
      <c r="C136" s="46"/>
      <c r="D136" s="45" t="str">
        <f t="shared" si="1"/>
        <v/>
      </c>
      <c r="E136" s="45" t="str">
        <f t="shared" si="2"/>
        <v/>
      </c>
      <c r="F136" s="15" t="str">
        <f t="shared" si="3"/>
        <v/>
      </c>
      <c r="G136" s="16"/>
    </row>
    <row r="137" ht="15.75" customHeight="1">
      <c r="A137" s="36"/>
      <c r="B137" s="45"/>
      <c r="C137" s="46"/>
      <c r="D137" s="45" t="str">
        <f t="shared" si="1"/>
        <v/>
      </c>
      <c r="E137" s="45" t="str">
        <f t="shared" si="2"/>
        <v/>
      </c>
      <c r="F137" s="15" t="str">
        <f t="shared" si="3"/>
        <v/>
      </c>
      <c r="G137" s="16"/>
    </row>
    <row r="138" ht="15.75" customHeight="1">
      <c r="A138" s="36"/>
      <c r="B138" s="45"/>
      <c r="C138" s="46"/>
      <c r="D138" s="45" t="str">
        <f t="shared" si="1"/>
        <v/>
      </c>
      <c r="E138" s="45" t="str">
        <f t="shared" si="2"/>
        <v/>
      </c>
      <c r="F138" s="15" t="str">
        <f t="shared" si="3"/>
        <v/>
      </c>
      <c r="G138" s="16"/>
    </row>
    <row r="139" ht="15.75" customHeight="1">
      <c r="A139" s="36"/>
      <c r="B139" s="45"/>
      <c r="C139" s="46"/>
      <c r="D139" s="45" t="str">
        <f t="shared" si="1"/>
        <v/>
      </c>
      <c r="E139" s="45" t="str">
        <f t="shared" si="2"/>
        <v/>
      </c>
      <c r="F139" s="15" t="str">
        <f t="shared" si="3"/>
        <v/>
      </c>
      <c r="G139" s="16"/>
    </row>
    <row r="140" ht="15.75" customHeight="1">
      <c r="A140" s="36"/>
      <c r="B140" s="45"/>
      <c r="C140" s="46"/>
      <c r="D140" s="45" t="str">
        <f t="shared" si="1"/>
        <v/>
      </c>
      <c r="E140" s="45" t="str">
        <f t="shared" si="2"/>
        <v/>
      </c>
      <c r="F140" s="15" t="str">
        <f t="shared" si="3"/>
        <v/>
      </c>
      <c r="G140" s="16"/>
    </row>
    <row r="141" ht="15.75" customHeight="1">
      <c r="A141" s="36"/>
      <c r="B141" s="45"/>
      <c r="C141" s="46"/>
      <c r="D141" s="45" t="str">
        <f t="shared" si="1"/>
        <v/>
      </c>
      <c r="E141" s="45" t="str">
        <f t="shared" si="2"/>
        <v/>
      </c>
      <c r="F141" s="15" t="str">
        <f t="shared" si="3"/>
        <v/>
      </c>
      <c r="G141" s="16"/>
    </row>
    <row r="142" ht="15.75" customHeight="1">
      <c r="A142" s="36"/>
      <c r="B142" s="45"/>
      <c r="C142" s="46"/>
      <c r="D142" s="45" t="str">
        <f t="shared" si="1"/>
        <v/>
      </c>
      <c r="E142" s="45" t="str">
        <f t="shared" si="2"/>
        <v/>
      </c>
      <c r="F142" s="15" t="str">
        <f t="shared" si="3"/>
        <v/>
      </c>
      <c r="G142" s="16"/>
    </row>
    <row r="143" ht="15.75" customHeight="1">
      <c r="A143" s="36"/>
      <c r="B143" s="45"/>
      <c r="C143" s="46"/>
      <c r="D143" s="45" t="str">
        <f t="shared" si="1"/>
        <v/>
      </c>
      <c r="E143" s="45" t="str">
        <f t="shared" si="2"/>
        <v/>
      </c>
      <c r="F143" s="15" t="str">
        <f t="shared" si="3"/>
        <v/>
      </c>
      <c r="G143" s="16"/>
    </row>
    <row r="144" ht="15.75" customHeight="1">
      <c r="A144" s="36"/>
      <c r="B144" s="45"/>
      <c r="C144" s="46"/>
      <c r="D144" s="45" t="str">
        <f t="shared" si="1"/>
        <v/>
      </c>
      <c r="E144" s="45" t="str">
        <f t="shared" si="2"/>
        <v/>
      </c>
      <c r="F144" s="15" t="str">
        <f t="shared" si="3"/>
        <v/>
      </c>
      <c r="G144" s="16"/>
    </row>
    <row r="145" ht="15.75" customHeight="1">
      <c r="A145" s="36"/>
      <c r="B145" s="45"/>
      <c r="C145" s="46"/>
      <c r="D145" s="45" t="str">
        <f t="shared" si="1"/>
        <v/>
      </c>
      <c r="E145" s="45" t="str">
        <f t="shared" si="2"/>
        <v/>
      </c>
      <c r="F145" s="15" t="str">
        <f t="shared" si="3"/>
        <v/>
      </c>
      <c r="G145" s="16"/>
    </row>
    <row r="146" ht="15.75" customHeight="1">
      <c r="A146" s="36"/>
      <c r="B146" s="45"/>
      <c r="C146" s="46"/>
      <c r="D146" s="45" t="str">
        <f t="shared" si="1"/>
        <v/>
      </c>
      <c r="E146" s="45" t="str">
        <f t="shared" si="2"/>
        <v/>
      </c>
      <c r="F146" s="15" t="str">
        <f t="shared" si="3"/>
        <v/>
      </c>
      <c r="G146" s="16"/>
    </row>
    <row r="147" ht="15.75" customHeight="1">
      <c r="A147" s="36"/>
      <c r="B147" s="45"/>
      <c r="C147" s="46"/>
      <c r="D147" s="45" t="str">
        <f t="shared" si="1"/>
        <v/>
      </c>
      <c r="E147" s="45" t="str">
        <f t="shared" si="2"/>
        <v/>
      </c>
      <c r="F147" s="15" t="str">
        <f t="shared" si="3"/>
        <v/>
      </c>
      <c r="G147" s="16"/>
    </row>
    <row r="148" ht="15.75" customHeight="1">
      <c r="A148" s="36"/>
      <c r="B148" s="45"/>
      <c r="C148" s="46"/>
      <c r="D148" s="45" t="str">
        <f t="shared" si="1"/>
        <v/>
      </c>
      <c r="E148" s="45" t="str">
        <f t="shared" si="2"/>
        <v/>
      </c>
      <c r="F148" s="15" t="str">
        <f t="shared" si="3"/>
        <v/>
      </c>
      <c r="G148" s="16"/>
    </row>
    <row r="149" ht="15.75" customHeight="1">
      <c r="A149" s="36"/>
      <c r="B149" s="45"/>
      <c r="C149" s="46"/>
      <c r="D149" s="45" t="str">
        <f t="shared" si="1"/>
        <v/>
      </c>
      <c r="E149" s="45" t="str">
        <f t="shared" si="2"/>
        <v/>
      </c>
      <c r="F149" s="15" t="str">
        <f t="shared" si="3"/>
        <v/>
      </c>
      <c r="G149" s="16"/>
    </row>
    <row r="150" ht="15.75" customHeight="1">
      <c r="A150" s="36"/>
      <c r="B150" s="45"/>
      <c r="C150" s="46"/>
      <c r="D150" s="45" t="str">
        <f t="shared" si="1"/>
        <v/>
      </c>
      <c r="E150" s="45" t="str">
        <f t="shared" si="2"/>
        <v/>
      </c>
      <c r="F150" s="15" t="str">
        <f t="shared" si="3"/>
        <v/>
      </c>
      <c r="G150" s="16"/>
    </row>
    <row r="151" ht="15.75" customHeight="1">
      <c r="A151" s="36"/>
      <c r="B151" s="45"/>
      <c r="C151" s="46"/>
      <c r="D151" s="45" t="str">
        <f t="shared" si="1"/>
        <v/>
      </c>
      <c r="E151" s="45" t="str">
        <f t="shared" si="2"/>
        <v/>
      </c>
      <c r="F151" s="15" t="str">
        <f t="shared" si="3"/>
        <v/>
      </c>
      <c r="G151" s="16"/>
    </row>
    <row r="152" ht="15.75" customHeight="1">
      <c r="A152" s="36"/>
      <c r="B152" s="45"/>
      <c r="C152" s="46"/>
      <c r="D152" s="45" t="str">
        <f t="shared" si="1"/>
        <v/>
      </c>
      <c r="E152" s="45" t="str">
        <f t="shared" si="2"/>
        <v/>
      </c>
      <c r="F152" s="15" t="str">
        <f t="shared" si="3"/>
        <v/>
      </c>
      <c r="G152" s="16"/>
    </row>
    <row r="153" ht="15.75" customHeight="1">
      <c r="A153" s="36"/>
      <c r="B153" s="45"/>
      <c r="C153" s="46"/>
      <c r="D153" s="45" t="str">
        <f t="shared" si="1"/>
        <v/>
      </c>
      <c r="E153" s="45" t="str">
        <f t="shared" si="2"/>
        <v/>
      </c>
      <c r="F153" s="15" t="str">
        <f t="shared" si="3"/>
        <v/>
      </c>
      <c r="G153" s="16"/>
    </row>
    <row r="154" ht="15.75" customHeight="1">
      <c r="A154" s="36"/>
      <c r="B154" s="45"/>
      <c r="C154" s="46"/>
      <c r="D154" s="45" t="str">
        <f t="shared" si="1"/>
        <v/>
      </c>
      <c r="E154" s="45" t="str">
        <f t="shared" si="2"/>
        <v/>
      </c>
      <c r="F154" s="15" t="str">
        <f t="shared" si="3"/>
        <v/>
      </c>
      <c r="G154" s="16"/>
    </row>
    <row r="155" ht="15.75" customHeight="1">
      <c r="A155" s="36"/>
      <c r="B155" s="45"/>
      <c r="C155" s="46"/>
      <c r="D155" s="45" t="str">
        <f t="shared" si="1"/>
        <v/>
      </c>
      <c r="E155" s="45" t="str">
        <f t="shared" si="2"/>
        <v/>
      </c>
      <c r="F155" s="15" t="str">
        <f t="shared" si="3"/>
        <v/>
      </c>
      <c r="G155" s="16"/>
    </row>
    <row r="156" ht="15.75" customHeight="1">
      <c r="A156" s="36"/>
      <c r="B156" s="45"/>
      <c r="C156" s="46"/>
      <c r="D156" s="45" t="str">
        <f t="shared" si="1"/>
        <v/>
      </c>
      <c r="E156" s="45" t="str">
        <f t="shared" si="2"/>
        <v/>
      </c>
      <c r="F156" s="15" t="str">
        <f t="shared" si="3"/>
        <v/>
      </c>
      <c r="G156" s="16"/>
    </row>
    <row r="157" ht="15.75" customHeight="1">
      <c r="A157" s="36"/>
      <c r="B157" s="45"/>
      <c r="C157" s="46"/>
      <c r="D157" s="45" t="str">
        <f t="shared" si="1"/>
        <v/>
      </c>
      <c r="E157" s="45" t="str">
        <f t="shared" si="2"/>
        <v/>
      </c>
      <c r="F157" s="15" t="str">
        <f t="shared" si="3"/>
        <v/>
      </c>
      <c r="G157" s="16"/>
    </row>
    <row r="158" ht="15.75" customHeight="1">
      <c r="A158" s="36"/>
      <c r="B158" s="45"/>
      <c r="C158" s="46"/>
      <c r="D158" s="45" t="str">
        <f t="shared" si="1"/>
        <v/>
      </c>
      <c r="E158" s="45" t="str">
        <f t="shared" si="2"/>
        <v/>
      </c>
      <c r="F158" s="15" t="str">
        <f t="shared" si="3"/>
        <v/>
      </c>
      <c r="G158" s="16"/>
    </row>
    <row r="159" ht="15.75" customHeight="1">
      <c r="A159" s="36"/>
      <c r="B159" s="45"/>
      <c r="C159" s="46"/>
      <c r="D159" s="45" t="str">
        <f t="shared" si="1"/>
        <v/>
      </c>
      <c r="E159" s="45" t="str">
        <f t="shared" si="2"/>
        <v/>
      </c>
      <c r="F159" s="15" t="str">
        <f t="shared" si="3"/>
        <v/>
      </c>
      <c r="G159" s="16"/>
    </row>
    <row r="160" ht="15.75" customHeight="1">
      <c r="A160" s="36"/>
      <c r="B160" s="45"/>
      <c r="C160" s="46"/>
      <c r="D160" s="45" t="str">
        <f t="shared" si="1"/>
        <v/>
      </c>
      <c r="E160" s="45" t="str">
        <f t="shared" si="2"/>
        <v/>
      </c>
      <c r="F160" s="15" t="str">
        <f t="shared" si="3"/>
        <v/>
      </c>
      <c r="G160" s="16"/>
    </row>
    <row r="161" ht="15.75" customHeight="1">
      <c r="A161" s="36"/>
      <c r="B161" s="45"/>
      <c r="C161" s="46"/>
      <c r="D161" s="45" t="str">
        <f t="shared" si="1"/>
        <v/>
      </c>
      <c r="E161" s="45" t="str">
        <f t="shared" si="2"/>
        <v/>
      </c>
      <c r="F161" s="15" t="str">
        <f t="shared" si="3"/>
        <v/>
      </c>
      <c r="G161" s="16"/>
    </row>
    <row r="162" ht="15.75" customHeight="1">
      <c r="A162" s="36"/>
      <c r="B162" s="45"/>
      <c r="C162" s="46"/>
      <c r="D162" s="45" t="str">
        <f t="shared" si="1"/>
        <v/>
      </c>
      <c r="E162" s="45" t="str">
        <f t="shared" si="2"/>
        <v/>
      </c>
      <c r="F162" s="15" t="str">
        <f t="shared" si="3"/>
        <v/>
      </c>
      <c r="G162" s="16"/>
    </row>
    <row r="163" ht="15.75" customHeight="1">
      <c r="A163" s="36"/>
      <c r="B163" s="45"/>
      <c r="C163" s="46"/>
      <c r="D163" s="45" t="str">
        <f t="shared" si="1"/>
        <v/>
      </c>
      <c r="E163" s="45" t="str">
        <f t="shared" si="2"/>
        <v/>
      </c>
      <c r="F163" s="15" t="str">
        <f t="shared" si="3"/>
        <v/>
      </c>
      <c r="G163" s="16"/>
    </row>
    <row r="164" ht="15.75" customHeight="1">
      <c r="A164" s="36"/>
      <c r="B164" s="45"/>
      <c r="C164" s="46"/>
      <c r="D164" s="45" t="str">
        <f t="shared" si="1"/>
        <v/>
      </c>
      <c r="E164" s="45" t="str">
        <f t="shared" si="2"/>
        <v/>
      </c>
      <c r="F164" s="15" t="str">
        <f t="shared" si="3"/>
        <v/>
      </c>
      <c r="G164" s="16"/>
    </row>
    <row r="165" ht="15.75" customHeight="1">
      <c r="A165" s="36"/>
      <c r="B165" s="45"/>
      <c r="C165" s="46"/>
      <c r="D165" s="45" t="str">
        <f t="shared" si="1"/>
        <v/>
      </c>
      <c r="E165" s="45" t="str">
        <f t="shared" si="2"/>
        <v/>
      </c>
      <c r="F165" s="15" t="str">
        <f t="shared" si="3"/>
        <v/>
      </c>
      <c r="G165" s="16"/>
    </row>
    <row r="166" ht="15.75" customHeight="1">
      <c r="A166" s="36"/>
      <c r="B166" s="45"/>
      <c r="C166" s="46"/>
      <c r="D166" s="45" t="str">
        <f t="shared" si="1"/>
        <v/>
      </c>
      <c r="E166" s="45" t="str">
        <f t="shared" si="2"/>
        <v/>
      </c>
      <c r="F166" s="15" t="str">
        <f t="shared" si="3"/>
        <v/>
      </c>
      <c r="G166" s="16"/>
    </row>
    <row r="167" ht="15.75" customHeight="1">
      <c r="A167" s="36"/>
      <c r="B167" s="45"/>
      <c r="C167" s="46"/>
      <c r="D167" s="45" t="str">
        <f t="shared" si="1"/>
        <v/>
      </c>
      <c r="E167" s="45" t="str">
        <f t="shared" si="2"/>
        <v/>
      </c>
      <c r="F167" s="15" t="str">
        <f t="shared" si="3"/>
        <v/>
      </c>
      <c r="G167" s="16"/>
    </row>
    <row r="168" ht="15.75" customHeight="1">
      <c r="A168" s="36"/>
      <c r="B168" s="45"/>
      <c r="C168" s="46"/>
      <c r="D168" s="45" t="str">
        <f t="shared" si="1"/>
        <v/>
      </c>
      <c r="E168" s="45" t="str">
        <f t="shared" si="2"/>
        <v/>
      </c>
      <c r="F168" s="15" t="str">
        <f t="shared" si="3"/>
        <v/>
      </c>
      <c r="G168" s="16"/>
    </row>
    <row r="169" ht="15.75" customHeight="1">
      <c r="A169" s="36"/>
      <c r="B169" s="45"/>
      <c r="C169" s="46"/>
      <c r="D169" s="45" t="str">
        <f t="shared" si="1"/>
        <v/>
      </c>
      <c r="E169" s="45" t="str">
        <f t="shared" si="2"/>
        <v/>
      </c>
      <c r="F169" s="15" t="str">
        <f t="shared" si="3"/>
        <v/>
      </c>
      <c r="G169" s="16"/>
    </row>
    <row r="170" ht="15.75" customHeight="1">
      <c r="A170" s="36"/>
      <c r="B170" s="45"/>
      <c r="C170" s="46"/>
      <c r="D170" s="45" t="str">
        <f t="shared" si="1"/>
        <v/>
      </c>
      <c r="E170" s="45" t="str">
        <f t="shared" si="2"/>
        <v/>
      </c>
      <c r="F170" s="15" t="str">
        <f t="shared" si="3"/>
        <v/>
      </c>
      <c r="G170" s="16"/>
    </row>
    <row r="171" ht="15.75" customHeight="1">
      <c r="A171" s="36"/>
      <c r="B171" s="45"/>
      <c r="C171" s="46"/>
      <c r="D171" s="45" t="str">
        <f t="shared" si="1"/>
        <v/>
      </c>
      <c r="E171" s="45" t="str">
        <f t="shared" si="2"/>
        <v/>
      </c>
      <c r="F171" s="15" t="str">
        <f t="shared" si="3"/>
        <v/>
      </c>
      <c r="G171" s="16"/>
    </row>
    <row r="172" ht="15.75" customHeight="1">
      <c r="A172" s="36"/>
      <c r="B172" s="45"/>
      <c r="C172" s="46"/>
      <c r="D172" s="45" t="str">
        <f t="shared" si="1"/>
        <v/>
      </c>
      <c r="E172" s="45" t="str">
        <f t="shared" si="2"/>
        <v/>
      </c>
      <c r="F172" s="15" t="str">
        <f t="shared" si="3"/>
        <v/>
      </c>
      <c r="G172" s="16"/>
    </row>
    <row r="173" ht="15.75" customHeight="1">
      <c r="A173" s="36"/>
      <c r="B173" s="45"/>
      <c r="C173" s="46"/>
      <c r="D173" s="45" t="str">
        <f t="shared" si="1"/>
        <v/>
      </c>
      <c r="E173" s="45" t="str">
        <f t="shared" si="2"/>
        <v/>
      </c>
      <c r="F173" s="15" t="str">
        <f t="shared" si="3"/>
        <v/>
      </c>
      <c r="G173" s="16"/>
    </row>
    <row r="174" ht="15.75" customHeight="1">
      <c r="A174" s="36"/>
      <c r="B174" s="45"/>
      <c r="C174" s="46"/>
      <c r="D174" s="45" t="str">
        <f t="shared" si="1"/>
        <v/>
      </c>
      <c r="E174" s="45" t="str">
        <f t="shared" si="2"/>
        <v/>
      </c>
      <c r="F174" s="15" t="str">
        <f t="shared" si="3"/>
        <v/>
      </c>
      <c r="G174" s="16"/>
    </row>
    <row r="175" ht="15.75" customHeight="1">
      <c r="A175" s="36"/>
      <c r="B175" s="45"/>
      <c r="C175" s="46"/>
      <c r="D175" s="45" t="str">
        <f t="shared" si="1"/>
        <v/>
      </c>
      <c r="E175" s="45" t="str">
        <f t="shared" si="2"/>
        <v/>
      </c>
      <c r="F175" s="15" t="str">
        <f t="shared" si="3"/>
        <v/>
      </c>
      <c r="G175" s="16"/>
    </row>
    <row r="176" ht="15.75" customHeight="1">
      <c r="A176" s="36"/>
      <c r="B176" s="45"/>
      <c r="C176" s="46"/>
      <c r="D176" s="45" t="str">
        <f t="shared" si="1"/>
        <v/>
      </c>
      <c r="E176" s="45" t="str">
        <f t="shared" si="2"/>
        <v/>
      </c>
      <c r="F176" s="15" t="str">
        <f t="shared" si="3"/>
        <v/>
      </c>
      <c r="G176" s="16"/>
    </row>
    <row r="177" ht="15.75" customHeight="1">
      <c r="A177" s="36"/>
      <c r="B177" s="45"/>
      <c r="C177" s="46"/>
      <c r="D177" s="45" t="str">
        <f t="shared" si="1"/>
        <v/>
      </c>
      <c r="E177" s="45" t="str">
        <f t="shared" si="2"/>
        <v/>
      </c>
      <c r="F177" s="15" t="str">
        <f t="shared" si="3"/>
        <v/>
      </c>
      <c r="G177" s="16"/>
    </row>
    <row r="178" ht="15.75" customHeight="1">
      <c r="A178" s="36"/>
      <c r="B178" s="45"/>
      <c r="C178" s="46"/>
      <c r="D178" s="45" t="str">
        <f t="shared" si="1"/>
        <v/>
      </c>
      <c r="E178" s="45" t="str">
        <f t="shared" si="2"/>
        <v/>
      </c>
      <c r="F178" s="15" t="str">
        <f t="shared" si="3"/>
        <v/>
      </c>
      <c r="G178" s="16"/>
    </row>
    <row r="179" ht="15.75" customHeight="1">
      <c r="A179" s="36"/>
      <c r="B179" s="45"/>
      <c r="C179" s="46"/>
      <c r="D179" s="45" t="str">
        <f t="shared" si="1"/>
        <v/>
      </c>
      <c r="E179" s="45" t="str">
        <f t="shared" si="2"/>
        <v/>
      </c>
      <c r="F179" s="15" t="str">
        <f t="shared" si="3"/>
        <v/>
      </c>
      <c r="G179" s="16"/>
    </row>
    <row r="180" ht="15.75" customHeight="1">
      <c r="A180" s="36"/>
      <c r="B180" s="45"/>
      <c r="C180" s="46"/>
      <c r="D180" s="45" t="str">
        <f t="shared" si="1"/>
        <v/>
      </c>
      <c r="E180" s="45" t="str">
        <f t="shared" si="2"/>
        <v/>
      </c>
      <c r="F180" s="15" t="str">
        <f t="shared" si="3"/>
        <v/>
      </c>
      <c r="G180" s="16"/>
    </row>
    <row r="181" ht="15.75" customHeight="1">
      <c r="A181" s="36"/>
      <c r="B181" s="45"/>
      <c r="C181" s="46"/>
      <c r="D181" s="45" t="str">
        <f t="shared" si="1"/>
        <v/>
      </c>
      <c r="E181" s="45" t="str">
        <f t="shared" si="2"/>
        <v/>
      </c>
      <c r="F181" s="15" t="str">
        <f t="shared" si="3"/>
        <v/>
      </c>
      <c r="G181" s="16"/>
    </row>
    <row r="182" ht="15.75" customHeight="1">
      <c r="A182" s="36"/>
      <c r="B182" s="45"/>
      <c r="C182" s="46"/>
      <c r="D182" s="45" t="str">
        <f t="shared" si="1"/>
        <v/>
      </c>
      <c r="E182" s="45" t="str">
        <f t="shared" si="2"/>
        <v/>
      </c>
      <c r="F182" s="15" t="str">
        <f t="shared" si="3"/>
        <v/>
      </c>
      <c r="G182" s="16"/>
    </row>
    <row r="183" ht="15.75" customHeight="1">
      <c r="A183" s="36"/>
      <c r="B183" s="45"/>
      <c r="C183" s="46"/>
      <c r="D183" s="45" t="str">
        <f t="shared" si="1"/>
        <v/>
      </c>
      <c r="E183" s="45" t="str">
        <f t="shared" si="2"/>
        <v/>
      </c>
      <c r="F183" s="15" t="str">
        <f t="shared" si="3"/>
        <v/>
      </c>
      <c r="G183" s="16"/>
    </row>
    <row r="184" ht="15.75" customHeight="1">
      <c r="A184" s="36"/>
      <c r="B184" s="45"/>
      <c r="C184" s="46"/>
      <c r="D184" s="45" t="str">
        <f t="shared" si="1"/>
        <v/>
      </c>
      <c r="E184" s="45" t="str">
        <f t="shared" si="2"/>
        <v/>
      </c>
      <c r="F184" s="15" t="str">
        <f t="shared" si="3"/>
        <v/>
      </c>
      <c r="G184" s="16"/>
    </row>
    <row r="185" ht="15.75" customHeight="1">
      <c r="A185" s="36"/>
      <c r="B185" s="45"/>
      <c r="C185" s="46"/>
      <c r="D185" s="45" t="str">
        <f t="shared" si="1"/>
        <v/>
      </c>
      <c r="E185" s="45" t="str">
        <f t="shared" si="2"/>
        <v/>
      </c>
      <c r="F185" s="15" t="str">
        <f t="shared" si="3"/>
        <v/>
      </c>
      <c r="G185" s="16"/>
    </row>
    <row r="186" ht="15.75" customHeight="1">
      <c r="A186" s="36"/>
      <c r="B186" s="45"/>
      <c r="C186" s="46"/>
      <c r="D186" s="45" t="str">
        <f t="shared" si="1"/>
        <v/>
      </c>
      <c r="E186" s="45" t="str">
        <f t="shared" si="2"/>
        <v/>
      </c>
      <c r="F186" s="15" t="str">
        <f t="shared" si="3"/>
        <v/>
      </c>
      <c r="G186" s="16"/>
    </row>
    <row r="187" ht="15.75" customHeight="1">
      <c r="A187" s="36"/>
      <c r="B187" s="45"/>
      <c r="C187" s="46"/>
      <c r="D187" s="45" t="str">
        <f t="shared" si="1"/>
        <v/>
      </c>
      <c r="E187" s="45" t="str">
        <f t="shared" si="2"/>
        <v/>
      </c>
      <c r="F187" s="15" t="str">
        <f t="shared" si="3"/>
        <v/>
      </c>
      <c r="G187" s="16"/>
    </row>
    <row r="188" ht="15.75" customHeight="1">
      <c r="A188" s="36"/>
      <c r="B188" s="45"/>
      <c r="C188" s="46"/>
      <c r="D188" s="45" t="str">
        <f t="shared" si="1"/>
        <v/>
      </c>
      <c r="E188" s="45" t="str">
        <f t="shared" si="2"/>
        <v/>
      </c>
      <c r="F188" s="15" t="str">
        <f t="shared" si="3"/>
        <v/>
      </c>
      <c r="G188" s="16"/>
    </row>
    <row r="189" ht="15.75" customHeight="1">
      <c r="A189" s="36"/>
      <c r="B189" s="45"/>
      <c r="C189" s="46"/>
      <c r="D189" s="45" t="str">
        <f t="shared" si="1"/>
        <v/>
      </c>
      <c r="E189" s="45" t="str">
        <f t="shared" si="2"/>
        <v/>
      </c>
      <c r="F189" s="15" t="str">
        <f t="shared" si="3"/>
        <v/>
      </c>
      <c r="G189" s="16"/>
    </row>
    <row r="190" ht="15.75" customHeight="1">
      <c r="A190" s="36"/>
      <c r="B190" s="45"/>
      <c r="C190" s="46"/>
      <c r="D190" s="45" t="str">
        <f t="shared" si="1"/>
        <v/>
      </c>
      <c r="E190" s="45" t="str">
        <f t="shared" si="2"/>
        <v/>
      </c>
      <c r="F190" s="15" t="str">
        <f t="shared" si="3"/>
        <v/>
      </c>
      <c r="G190" s="16"/>
    </row>
    <row r="191" ht="15.75" customHeight="1">
      <c r="A191" s="36"/>
      <c r="B191" s="45"/>
      <c r="C191" s="46"/>
      <c r="D191" s="45" t="str">
        <f t="shared" si="1"/>
        <v/>
      </c>
      <c r="E191" s="45" t="str">
        <f t="shared" si="2"/>
        <v/>
      </c>
      <c r="F191" s="15" t="str">
        <f t="shared" si="3"/>
        <v/>
      </c>
      <c r="G191" s="16"/>
    </row>
    <row r="192" ht="15.75" customHeight="1">
      <c r="A192" s="36"/>
      <c r="B192" s="45"/>
      <c r="C192" s="46"/>
      <c r="D192" s="45" t="str">
        <f t="shared" si="1"/>
        <v/>
      </c>
      <c r="E192" s="45" t="str">
        <f t="shared" si="2"/>
        <v/>
      </c>
      <c r="F192" s="15" t="str">
        <f t="shared" si="3"/>
        <v/>
      </c>
      <c r="G192" s="16"/>
    </row>
    <row r="193" ht="15.75" customHeight="1">
      <c r="A193" s="36"/>
      <c r="B193" s="45"/>
      <c r="C193" s="46"/>
      <c r="D193" s="45" t="str">
        <f t="shared" si="1"/>
        <v/>
      </c>
      <c r="E193" s="45" t="str">
        <f t="shared" si="2"/>
        <v/>
      </c>
      <c r="F193" s="15" t="str">
        <f t="shared" si="3"/>
        <v/>
      </c>
      <c r="G193" s="16"/>
    </row>
    <row r="194" ht="15.75" customHeight="1">
      <c r="A194" s="36"/>
      <c r="B194" s="45"/>
      <c r="C194" s="46"/>
      <c r="D194" s="45" t="str">
        <f t="shared" si="1"/>
        <v/>
      </c>
      <c r="E194" s="45" t="str">
        <f t="shared" si="2"/>
        <v/>
      </c>
      <c r="F194" s="15" t="str">
        <f t="shared" si="3"/>
        <v/>
      </c>
      <c r="G194" s="16"/>
    </row>
    <row r="195" ht="15.75" customHeight="1">
      <c r="A195" s="36"/>
      <c r="B195" s="45"/>
      <c r="C195" s="46"/>
      <c r="D195" s="45" t="str">
        <f t="shared" si="1"/>
        <v/>
      </c>
      <c r="E195" s="45" t="str">
        <f t="shared" si="2"/>
        <v/>
      </c>
      <c r="F195" s="15" t="str">
        <f t="shared" si="3"/>
        <v/>
      </c>
      <c r="G195" s="16"/>
    </row>
    <row r="196" ht="15.75" customHeight="1">
      <c r="A196" s="36"/>
      <c r="B196" s="45"/>
      <c r="C196" s="46"/>
      <c r="D196" s="45" t="str">
        <f t="shared" si="1"/>
        <v/>
      </c>
      <c r="E196" s="45" t="str">
        <f t="shared" si="2"/>
        <v/>
      </c>
      <c r="F196" s="15" t="str">
        <f t="shared" si="3"/>
        <v/>
      </c>
      <c r="G196" s="16"/>
    </row>
    <row r="197" ht="15.75" customHeight="1">
      <c r="A197" s="36"/>
      <c r="B197" s="45"/>
      <c r="C197" s="46"/>
      <c r="D197" s="45" t="str">
        <f t="shared" si="1"/>
        <v/>
      </c>
      <c r="E197" s="45" t="str">
        <f t="shared" si="2"/>
        <v/>
      </c>
      <c r="F197" s="15" t="str">
        <f t="shared" si="3"/>
        <v/>
      </c>
      <c r="G197" s="16"/>
    </row>
    <row r="198" ht="15.75" customHeight="1">
      <c r="A198" s="36"/>
      <c r="B198" s="45"/>
      <c r="C198" s="46"/>
      <c r="D198" s="45" t="str">
        <f t="shared" si="1"/>
        <v/>
      </c>
      <c r="E198" s="45" t="str">
        <f t="shared" si="2"/>
        <v/>
      </c>
      <c r="F198" s="15" t="str">
        <f t="shared" si="3"/>
        <v/>
      </c>
      <c r="G198" s="16"/>
    </row>
    <row r="199" ht="15.75" customHeight="1">
      <c r="A199" s="36"/>
      <c r="B199" s="45"/>
      <c r="C199" s="46"/>
      <c r="D199" s="45" t="str">
        <f t="shared" si="1"/>
        <v/>
      </c>
      <c r="E199" s="45" t="str">
        <f t="shared" si="2"/>
        <v/>
      </c>
      <c r="F199" s="15" t="str">
        <f t="shared" si="3"/>
        <v/>
      </c>
      <c r="G199" s="16"/>
    </row>
    <row r="200" ht="15.75" customHeight="1">
      <c r="A200" s="36"/>
      <c r="B200" s="45"/>
      <c r="C200" s="46"/>
      <c r="D200" s="45" t="str">
        <f t="shared" si="1"/>
        <v/>
      </c>
      <c r="E200" s="45" t="str">
        <f t="shared" si="2"/>
        <v/>
      </c>
      <c r="F200" s="15" t="str">
        <f t="shared" si="3"/>
        <v/>
      </c>
      <c r="G200" s="16"/>
    </row>
    <row r="201" ht="15.75" customHeight="1">
      <c r="A201" s="36"/>
      <c r="B201" s="45"/>
      <c r="C201" s="46"/>
      <c r="D201" s="45" t="str">
        <f t="shared" si="1"/>
        <v/>
      </c>
      <c r="E201" s="45" t="str">
        <f t="shared" si="2"/>
        <v/>
      </c>
      <c r="F201" s="15" t="str">
        <f t="shared" si="3"/>
        <v/>
      </c>
      <c r="G201" s="16"/>
    </row>
    <row r="202" ht="15.75" customHeight="1">
      <c r="A202" s="36"/>
      <c r="B202" s="45"/>
      <c r="C202" s="46"/>
      <c r="D202" s="45" t="str">
        <f t="shared" si="1"/>
        <v/>
      </c>
      <c r="E202" s="45" t="str">
        <f t="shared" si="2"/>
        <v/>
      </c>
      <c r="F202" s="15" t="str">
        <f t="shared" si="3"/>
        <v/>
      </c>
      <c r="G202" s="16"/>
    </row>
    <row r="203" ht="15.75" customHeight="1">
      <c r="A203" s="36"/>
      <c r="B203" s="45"/>
      <c r="C203" s="46"/>
      <c r="D203" s="45" t="str">
        <f t="shared" si="1"/>
        <v/>
      </c>
      <c r="E203" s="45" t="str">
        <f t="shared" si="2"/>
        <v/>
      </c>
      <c r="F203" s="15" t="str">
        <f t="shared" si="3"/>
        <v/>
      </c>
      <c r="G203" s="16"/>
    </row>
    <row r="204" ht="15.75" customHeight="1">
      <c r="A204" s="36"/>
      <c r="B204" s="45"/>
      <c r="C204" s="46"/>
      <c r="D204" s="45" t="str">
        <f t="shared" si="1"/>
        <v/>
      </c>
      <c r="E204" s="45" t="str">
        <f t="shared" si="2"/>
        <v/>
      </c>
      <c r="F204" s="15" t="str">
        <f t="shared" si="3"/>
        <v/>
      </c>
      <c r="G204" s="16"/>
    </row>
    <row r="205" ht="15.75" customHeight="1">
      <c r="A205" s="36"/>
      <c r="B205" s="45"/>
      <c r="C205" s="46"/>
      <c r="D205" s="45" t="str">
        <f t="shared" si="1"/>
        <v/>
      </c>
      <c r="E205" s="45" t="str">
        <f t="shared" si="2"/>
        <v/>
      </c>
      <c r="F205" s="15" t="str">
        <f t="shared" si="3"/>
        <v/>
      </c>
      <c r="G205" s="16"/>
    </row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4:G4"/>
  </mergeCells>
  <printOptions/>
  <pageMargins bottom="1.0" footer="0.0" header="0.0" left="0.75" right="0.75" top="1.0"/>
  <pageSetup orientation="landscape"/>
  <drawing r:id="rId1"/>
</worksheet>
</file>